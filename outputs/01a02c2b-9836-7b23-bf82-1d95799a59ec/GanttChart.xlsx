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bc1b95813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46a15ba21f477d"/>
  </x:sheets>
</x:workbook>
</file>

<file path=xl/sharedStrings.xml><?xml version="1.0" encoding="utf-8"?>
<x:sst xmlns:x="http://schemas.openxmlformats.org/spreadsheetml/2006/main">
  <x:si>
    <x:t xml:space="preserve">WBS</x:t>
  </x:si>
  <x:si>
    <x:t xml:space="preserve">Task Name</x:t>
  </x:si>
  <x:si>
    <x:t xml:space="preserve">Duration(Days)</x:t>
  </x:si>
  <x:si>
    <x:t xml:space="preserve">Start</x:t>
  </x:si>
  <x:si>
    <x:t xml:space="preserve">Finish</x:t>
  </x:si>
  <x:si>
    <x:t xml:space="preserve">W1(02/02)</x:t>
  </x:si>
  <x:si>
    <x:t xml:space="preserve">W2(09/02)</x:t>
  </x:si>
  <x:si>
    <x:t xml:space="preserve">W3(16/02)</x:t>
  </x:si>
  <x:si>
    <x:t xml:space="preserve">W4(23/02)</x:t>
  </x:si>
  <x:si>
    <x:t xml:space="preserve">W5(02/03)</x:t>
  </x:si>
  <x:si>
    <x:t xml:space="preserve">W6(09/03)</x:t>
  </x:si>
  <x:si>
    <x:t xml:space="preserve">W7(16/03)</x:t>
  </x:si>
  <x:si>
    <x:t xml:space="preserve">W8(23/03)</x:t>
  </x:si>
  <x:si>
    <x:t xml:space="preserve">W9(30/03)</x:t>
  </x:si>
  <x:si>
    <x:t xml:space="preserve">W10(06/04)</x:t>
  </x:si>
  <x:si>
    <x:t xml:space="preserve">W11(13/04)</x:t>
  </x:si>
  <x:si>
    <x:t xml:space="preserve">W12(20/04)</x:t>
  </x:si>
  <x:si>
    <x:t xml:space="preserve">1.0</x:t>
  </x:si>
  <x:si>
    <x:t xml:space="preserve">Project Planning</x:t>
  </x:si>
  <x:si>
    <x:t xml:space="preserve"> 49 days</x:t>
  </x:si>
  <x:si>
    <x:t xml:space="preserve">30/3/2026</x:t>
  </x:si>
  <x:si>
    <x:t xml:space="preserve">1.1</x:t>
  </x:si>
  <x:si>
    <x:t xml:space="preserve">  Preliminary Planning</x:t>
  </x:si>
  <x:si>
    <x:t xml:space="preserve">7 days</x:t>
  </x:si>
  <x:si>
    <x:t xml:space="preserve">1.1.1</x:t>
  </x:si>
  <x:si>
    <x:t xml:space="preserve">    Study background of the project problem</x:t>
  </x:si>
  <x:si>
    <x:t xml:space="preserve">1 days</x:t>
  </x:si>
  <x:si>
    <x:t xml:space="preserve">1.1.1.1</x:t>
  </x:si>
  <x:si>
    <x:t xml:space="preserve">      Define problem statements</x:t>
  </x:si>
  <x:si>
    <x:t xml:space="preserve">1.1.1.2</x:t>
  </x:si>
  <x:si>
    <x:t xml:space="preserve">      Define project objectives</x:t>
  </x:si>
  <x:si>
    <x:t xml:space="preserve">1.1.2</x:t>
  </x:si>
  <x:si>
    <x:t xml:space="preserve">    Define project scope</x:t>
  </x:si>
  <x:si>
    <x:t xml:space="preserve">1.1.3</x:t>
  </x:si>
  <x:si>
    <x:t xml:space="preserve">    Define project proposed solution</x:t>
  </x:si>
  <x:si>
    <x:t xml:space="preserve">1.1.4</x:t>
  </x:si>
  <x:si>
    <x:t xml:space="preserve">    Define project proposed approach</x:t>
  </x:si>
  <x:si>
    <x:t xml:space="preserve">13/2/2026</x:t>
  </x:si>
  <x:si>
    <x:t xml:space="preserve">1.1.5</x:t>
  </x:si>
  <x:si>
    <x:t xml:space="preserve">    Define project out-of-scope</x:t>
  </x:si>
  <x:si>
    <x:t xml:space="preserve">14/2/2026</x:t>
  </x:si>
  <x:si>
    <x:t xml:space="preserve">1.2</x:t>
  </x:si>
  <x:si>
    <x:t xml:space="preserve">  Literature Review</x:t>
  </x:si>
  <x:si>
    <x:t xml:space="preserve">14 days</x:t>
  </x:si>
  <x:si>
    <x:t xml:space="preserve">15/2/2026</x:t>
  </x:si>
  <x:si>
    <x:t xml:space="preserve">1.2.1</x:t>
  </x:si>
  <x:si>
    <x:t xml:space="preserve">    Review on Development Methodology</x:t>
  </x:si>
  <x:si>
    <x:t xml:space="preserve">22/2/2026</x:t>
  </x:si>
  <x:si>
    <x:t xml:space="preserve">1.2.1.1</x:t>
  </x:si>
  <x:si>
    <x:t xml:space="preserve">      Review on Waterfall Development Methodology</x:t>
  </x:si>
  <x:si>
    <x:t xml:space="preserve">16/2/2026</x:t>
  </x:si>
  <x:si>
    <x:t xml:space="preserve">1.2.1.2</x:t>
  </x:si>
  <x:si>
    <x:t xml:space="preserve">      Review on Agile Methodology</x:t>
  </x:si>
  <x:si>
    <x:t xml:space="preserve">17/2/2026</x:t>
  </x:si>
  <x:si>
    <x:t xml:space="preserve">1.2.1.3</x:t>
  </x:si>
  <x:si>
    <x:t xml:space="preserve">      Review on Prototyping Model</x:t>
  </x:si>
  <x:si>
    <x:t xml:space="preserve">18/2/2026</x:t>
  </x:si>
  <x:si>
    <x:t xml:space="preserve">1.2.1.4</x:t>
  </x:si>
  <x:si>
    <x:t xml:space="preserve">      Review on Rapid Application Development (RAD)</x:t>
  </x:si>
  <x:si>
    <x:t xml:space="preserve">19/2/2026</x:t>
  </x:si>
  <x:si>
    <x:t xml:space="preserve">1.2.1.5</x:t>
  </x:si>
  <x:si>
    <x:t xml:space="preserve">      Comparison of Development Methodologies</x:t>
  </x:si>
  <x:si>
    <x:t xml:space="preserve">3 days</x:t>
  </x:si>
  <x:si>
    <x:t xml:space="preserve">20/2/2026</x:t>
  </x:si>
  <x:si>
    <x:t xml:space="preserve">1.2.2</x:t>
  </x:si>
  <x:si>
    <x:t xml:space="preserve">    Review on Mobile Application Framework</x:t>
  </x:si>
  <x:si>
    <x:t xml:space="preserve">23/2/2026</x:t>
  </x:si>
  <x:si>
    <x:t xml:space="preserve">25/2/2026</x:t>
  </x:si>
  <x:si>
    <x:t xml:space="preserve">1.2.2.1</x:t>
  </x:si>
  <x:si>
    <x:t xml:space="preserve">      Review on React Native</x:t>
  </x:si>
  <x:si>
    <x:t xml:space="preserve">26/2/2026</x:t>
  </x:si>
  <x:si>
    <x:t xml:space="preserve">1.2.2.2</x:t>
  </x:si>
  <x:si>
    <x:t xml:space="preserve">      Review on Flutter</x:t>
  </x:si>
  <x:si>
    <x:t xml:space="preserve">27/2/2026</x:t>
  </x:si>
  <x:si>
    <x:t xml:space="preserve">1.2.2.3</x:t>
  </x:si>
  <x:si>
    <x:t xml:space="preserve">      Comparison of Mobile Application Frameworks</x:t>
  </x:si>
  <x:si>
    <x:t xml:space="preserve">28/2/2026</x:t>
  </x:si>
  <x:si>
    <x:t xml:space="preserve">1.2.3</x:t>
  </x:si>
  <x:si>
    <x:t xml:space="preserve">    Review on Existing Applications</x:t>
  </x:si>
  <x:si>
    <x:t xml:space="preserve">4 days</x:t>
  </x:si>
  <x:si>
    <x:t xml:space="preserve">1.2.3.1</x:t>
  </x:si>
  <x:si>
    <x:t xml:space="preserve">      Review on Ellicares</x:t>
  </x:si>
  <x:si>
    <x:t xml:space="preserve">2 days</x:t>
  </x:si>
  <x:si>
    <x:t xml:space="preserve">1.2.3.2</x:t>
  </x:si>
  <x:si>
    <x:t xml:space="preserve">      Review on XDementia</x:t>
  </x:si>
  <x:si>
    <x:t xml:space="preserve">1.3</x:t>
  </x:si>
  <x:si>
    <x:t xml:space="preserve">  Methodology and Work Plan</x:t>
  </x:si>
  <x:si>
    <x:t xml:space="preserve">16/3/2026</x:t>
  </x:si>
  <x:si>
    <x:t xml:space="preserve">1.3.1</x:t>
  </x:si>
  <x:si>
    <x:t xml:space="preserve">    Choose Methodology</x:t>
  </x:si>
  <x:si>
    <x:t xml:space="preserve">1.3.2</x:t>
  </x:si>
  <x:si>
    <x:t xml:space="preserve">    Project Scheduling</x:t>
  </x:si>
  <x:si>
    <x:t xml:space="preserve">13/3/2026</x:t>
  </x:si>
  <x:si>
    <x:t xml:space="preserve">1.3.2.1</x:t>
  </x:si>
  <x:si>
    <x:t xml:space="preserve">      Work Breakdown Structure</x:t>
  </x:si>
  <x:si>
    <x:t xml:space="preserve">14/3/2026</x:t>
  </x:si>
  <x:si>
    <x:t xml:space="preserve">15/3/2026</x:t>
  </x:si>
  <x:si>
    <x:t xml:space="preserve">1.3.2.2</x:t>
  </x:si>
  <x:si>
    <x:t xml:space="preserve">      Gantt Chart</x:t>
  </x:si>
  <x:si>
    <x:t xml:space="preserve">1.4</x:t>
  </x:si>
  <x:si>
    <x:t xml:space="preserve">  Project and Design Specification</x:t>
  </x:si>
  <x:si>
    <x:t xml:space="preserve">21 days</x:t>
  </x:si>
  <x:si>
    <x:t xml:space="preserve">17/3/2026</x:t>
  </x:si>
  <x:si>
    <x:t xml:space="preserve">1.4.1</x:t>
  </x:si>
  <x:si>
    <x:t xml:space="preserve">    Requirement Specification</x:t>
  </x:si>
  <x:si>
    <x:t xml:space="preserve">18/3/2026</x:t>
  </x:si>
  <x:si>
    <x:t xml:space="preserve">1.4.1.1</x:t>
  </x:si>
  <x:si>
    <x:t xml:space="preserve">      Identify Functional Requirement</x:t>
  </x:si>
  <x:si>
    <x:t xml:space="preserve">19/3/2026</x:t>
  </x:si>
  <x:si>
    <x:t xml:space="preserve">1.4.1.2</x:t>
  </x:si>
  <x:si>
    <x:t xml:space="preserve">      Identify Non-Functional Requirement</x:t>
  </x:si>
  <x:si>
    <x:t xml:space="preserve">20/3/2026</x:t>
  </x:si>
  <x:si>
    <x:t xml:space="preserve">1.4.2</x:t>
  </x:si>
  <x:si>
    <x:t xml:space="preserve">    Create UML Diagram</x:t>
  </x:si>
  <x:si>
    <x:t xml:space="preserve">5 days</x:t>
  </x:si>
  <x:si>
    <x:t xml:space="preserve">21/3/2026</x:t>
  </x:si>
  <x:si>
    <x:t xml:space="preserve">25/3/2026</x:t>
  </x:si>
  <x:si>
    <x:t xml:space="preserve">1.4.2.1</x:t>
  </x:si>
  <x:si>
    <x:t xml:space="preserve">      Develop Use Case Diagram</x:t>
  </x:si>
  <x:si>
    <x:t xml:space="preserve">26/3/2026</x:t>
  </x:si>
  <x:si>
    <x:t xml:space="preserve">27/3/2026</x:t>
  </x:si>
  <x:si>
    <x:t xml:space="preserve">1.4.2.2</x:t>
  </x:si>
  <x:si>
    <x:t xml:space="preserve">      Define Use Case Descriptions</x:t>
  </x:si>
  <x:si>
    <x:t xml:space="preserve">28/3/2026</x:t>
  </x:si>
  <x:si>
    <x:t xml:space="preserve">2.0</x:t>
  </x:si>
  <x:si>
    <x:t xml:space="preserve">Design and Prototyping</x:t>
  </x:si>
  <x:si>
    <x:t xml:space="preserve">28 days</x:t>
  </x:si>
  <x:si>
    <x:t xml:space="preserve">31/3/2026</x:t>
  </x:si>
  <x:si>
    <x:t xml:space="preserve">21/4/2026</x:t>
  </x:si>
  <x:si>
    <x:t xml:space="preserve">2.1</x:t>
  </x:si>
  <x:si>
    <x:t xml:space="preserve">  First Iteration</x:t>
  </x:si>
  <x:si>
    <x:t xml:space="preserve">2.1.1</x:t>
  </x:si>
  <x:si>
    <x:t xml:space="preserve">    Design User Interface</x:t>
  </x:si>
  <x:si>
    <x:t xml:space="preserve">2.1.2</x:t>
  </x:si>
  <x:si>
    <x:t xml:space="preserve">    Build Low-Fidelity Prototype</x:t>
  </x:si>
  <x:si>
    <x:t xml:space="preserve">2.1.3</x:t>
  </x:si>
  <x:si>
    <x:t xml:space="preserve">    Evaluation and Gathering Feedback</x:t>
  </x:si>
  <x:si>
    <x:t xml:space="preserve">2.1.4</x:t>
  </x:si>
  <x:si>
    <x:t xml:space="preserve">    Review Prototype</x:t>
  </x:si>
  <x:si>
    <x:t xml:space="preserve">2.2</x:t>
  </x:si>
  <x:si>
    <x:t xml:space="preserve">  Second Iteration</x:t>
  </x:si>
  <x:si>
    <x:t xml:space="preserve">2.2.1</x:t>
  </x:si>
  <x:si>
    <x:t xml:space="preserve">    Develop Essential Features</x:t>
  </x:si>
  <x:si>
    <x:t xml:space="preserve">14/4/2026</x:t>
  </x:si>
  <x:si>
    <x:t xml:space="preserve">2.2.1.1</x:t>
  </x:si>
  <x:si>
    <x:t xml:space="preserve">      User Authentication</x:t>
  </x:si>
  <x:si>
    <x:t xml:space="preserve">2.2.1.2</x:t>
  </x:si>
  <x:si>
    <x:t xml:space="preserve">      Task and Medication Reminder Module</x:t>
  </x:si>
  <x:si>
    <x:t xml:space="preserve">2.2.1.3</x:t>
  </x:si>
  <x:si>
    <x:t xml:space="preserve">      Notification System</x:t>
  </x:si>
  <x:si>
    <x:t xml:space="preserve">2.2.1.4</x:t>
  </x:si>
  <x:si>
    <x:t xml:space="preserve">      Cognitive Exercises Module</x:t>
  </x:si>
  <x:si>
    <x:t xml:space="preserve">2.2.1.5</x:t>
  </x:si>
  <x:si>
    <x:t xml:space="preserve">      Gamification Module</x:t>
  </x:si>
  <x:si>
    <x:t xml:space="preserve">2.2.1.6</x:t>
  </x:si>
  <x:si>
    <x:t xml:space="preserve">      Caregiver Dashboard</x:t>
  </x:si>
  <x:si>
    <x:t xml:space="preserve">13/4/2026</x:t>
  </x:si>
  <x:si>
    <x:t xml:space="preserve">2.2.2</x:t>
  </x:si>
  <x:si>
    <x:t xml:space="preserve">    Database Design</x:t>
  </x:si>
  <x:si>
    <x:t xml:space="preserve">15/4/2026</x:t>
  </x:si>
  <x:si>
    <x:t xml:space="preserve">17/4/2026</x:t>
  </x:si>
  <x:si>
    <x:t xml:space="preserve">2.2.3</x:t>
  </x:si>
  <x:si>
    <x:t xml:space="preserve">18/4/2026</x:t>
  </x:si>
  <x:si>
    <x:t xml:space="preserve">19/4/2026</x:t>
  </x:si>
  <x:si>
    <x:t xml:space="preserve">2.2.4</x:t>
  </x:si>
  <x:si>
    <x:t xml:space="preserve">20/4/2026</x:t>
  </x:si>
</x:sst>
</file>

<file path=xl/styles.xml><?xml version="1.0" encoding="utf-8"?>
<x:styleSheet xmlns:x="http://schemas.openxmlformats.org/spreadsheetml/2006/main">
  <x:numFmts count="16">
    <x:numFmt numFmtId="200" formatCode="&quot;W1(&quot;d/m&quot;)&quot;"/>
    <x:numFmt numFmtId="201" formatCode="&quot;W2(&quot;d/m&quot;)&quot;"/>
    <x:numFmt numFmtId="202" formatCode="&quot;W3(&quot;d/m&quot;)&quot;"/>
    <x:numFmt numFmtId="203" formatCode="&quot;W4(&quot;d/m&quot;)&quot;"/>
    <x:numFmt numFmtId="204" formatCode="&quot;W5(&quot;d/m&quot;)&quot;"/>
    <x:numFmt numFmtId="205" formatCode="&quot;W6(&quot;d/m&quot;)&quot;"/>
    <x:numFmt numFmtId="206" formatCode="&quot;W7(&quot;d/m&quot;)&quot;"/>
    <x:numFmt numFmtId="207" formatCode="&quot;W8(&quot;d/m&quot;)&quot;"/>
    <x:numFmt numFmtId="208" formatCode="&quot;W9(&quot;d/m&quot;)&quot;"/>
    <x:numFmt numFmtId="209" formatCode="&quot;W10(&quot;d/m&quot;)&quot;"/>
    <x:numFmt numFmtId="210" formatCode="&quot;W11(&quot;d/m&quot;)&quot;"/>
    <x:numFmt numFmtId="211" formatCode="&quot;W12(&quot;d/m&quot;)&quot;"/>
    <x:numFmt numFmtId="212" formatCode="&quot;W13(&quot;d/m&quot;)&quot;"/>
    <x:numFmt numFmtId="213" formatCode="&quot;W14(&quot;d/m&quot;)&quot;"/>
    <x:numFmt numFmtId="214" formatCode="@"/>
    <x:numFmt numFmtId="215" formatCode="d/m/yyyy"/>
  </x:numFmts>
  <x:fonts count="15">
    <x:font>
      <x:sz val="11"/>
      <x:color theme="1"/>
      <x:name val="Aptos Narrow"/>
    </x:font>
    <x:font>
      <x:sz val="11"/>
      <x:color theme="1"/>
      <x:name val="Times New Roman"/>
    </x:font>
    <x:font>
      <x:b/>
      <x:sz val="11"/>
      <x:color rgb="FFFFFFFF"/>
      <x:name val="Times New Roman"/>
    </x:font>
    <x:font>
      <x:b/>
      <x:sz val="10"/>
      <x:color rgb="FFFFFFFF"/>
      <x:name val="Times New Roman"/>
    </x:font>
    <x:font>
      <x:sz val="9"/>
      <x:color rgb="FF1F3864"/>
      <x:name val="Times New Roman"/>
    </x:font>
    <x:font>
      <x:sz val="9"/>
      <x:color rgb="FF404040"/>
      <x:name val="Times New Roman"/>
    </x:font>
    <x:font>
      <x:sz val="11"/>
      <x:name val="Times New Roman"/>
    </x:font>
    <x:font>
      <x:sz val="10"/>
      <x:name val="Times New Roman"/>
    </x:font>
    <x:font>
      <x:b/>
      <x:sz val="11"/>
      <x:name val="Times New Roman"/>
    </x:font>
    <x:font>
      <x:b/>
      <x:sz val="10"/>
      <x:name val="Times New Roman"/>
    </x:font>
    <x:font>
      <x:b/>
      <x:sz val="11"/>
      <x:color theme="0" tint="-0.04999"/>
      <x:name val="Times New Roman"/>
    </x:font>
    <x:font>
      <x:b/>
      <x:sz val="11"/>
      <x:color theme="0"/>
      <x:name val="Times New Roman"/>
    </x:font>
    <x:font>
      <x:b/>
      <x:sz val="10"/>
      <x:color rgb="FF1F1F1F"/>
      <x:name val="Times New Roman"/>
    </x:font>
    <x:font>
      <x:sz val="10"/>
      <x:color rgb="FF1F1F1F"/>
      <x:name val="Times New Roman"/>
    </x:font>
    <x:font>
      <x:sz val="9"/>
      <x:color rgb="FF1F1F1F"/>
      <x:name val="Times New Roman"/>
    </x:font>
  </x:fonts>
  <x:fills count="37">
    <x:fill>
      <x:patternFill patternType="none"/>
    </x:fill>
    <x:fill>
      <x:patternFill patternType="gray125"/>
    </x:fill>
    <x:fill>
      <x:patternFill patternType="solid">
        <x:fgColor theme="7" tint="0.59999"/>
      </x:patternFill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EBF3FB"/>
      </x:patternFill>
    </x:fill>
    <x:fill>
      <x:patternFill patternType="solid">
        <x:fgColor rgb="FFFFFFFF"/>
      </x:patternFill>
    </x:fill>
    <x:fill>
      <x:patternFill patternType="solid">
        <x:fgColor rgb="FF1A5C1A"/>
      </x:patternFill>
    </x:fill>
    <x:fill>
      <x:patternFill patternType="solid">
        <x:fgColor rgb="FF70AD47"/>
      </x:patternFill>
    </x:fill>
    <x:fill>
      <x:patternFill patternType="solid">
        <x:fgColor rgb="FF3B1070"/>
      </x:patternFill>
    </x:fill>
    <x:fill>
      <x:patternFill patternType="solid">
        <x:fgColor rgb="FF7030A0"/>
      </x:patternFill>
    </x:fill>
    <x:fill>
      <x:patternFill patternType="solid">
        <x:fgColor theme="9" tint="0.79998"/>
      </x:patternFill>
    </x:fill>
    <x:fill>
      <x:patternFill patternType="solid">
        <x:fgColor theme="0"/>
      </x:patternFill>
    </x:fill>
    <x:fill>
      <x:patternFill patternType="solid">
        <x:fgColor theme="8" tint="-0.24998"/>
      </x:patternFill>
    </x:fill>
    <x:fill>
      <x:patternFill patternType="solid">
        <x:fgColor theme="8" tint="0.39998"/>
      </x:patternFill>
    </x:fill>
    <x:fill>
      <x:patternFill patternType="solid">
        <x:fgColor theme="6" tint="-0.24998"/>
      </x:patternFill>
    </x:fill>
    <x:fill>
      <x:patternFill patternType="solid">
        <x:fgColor theme="6" tint="0.39998"/>
      </x:patternFill>
    </x:fill>
    <x:fill>
      <x:patternFill patternType="solid">
        <x:fgColor rgb="FF0070C0"/>
      </x:patternFill>
    </x:fill>
    <x:fill>
      <x:patternFill patternType="solid">
        <x:fgColor rgb="FF2E75B6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FFC000"/>
      </x:patternFill>
    </x:fill>
    <x:fill>
      <x:patternFill patternType="solid">
        <x:fgColor rgb="FF7030A0"/>
      </x:patternFill>
    </x:fill>
    <x:fill>
      <x:patternFill patternType="solid">
        <x:fgColor rgb="FFB7DEE8"/>
      </x:patternFill>
    </x:fill>
    <x:fill>
      <x:patternFill patternType="solid">
        <x:fgColor rgb="FFFFFFFF"/>
      </x:patternFill>
    </x:fill>
    <x:fill>
      <x:patternFill patternType="solid">
        <x:fgColor rgb="FF7030A0"/>
      </x:patternFill>
    </x:fill>
    <x:fill>
      <x:patternFill patternType="solid">
        <x:fgColor rgb="FFFFC000"/>
      </x:patternFill>
    </x:fill>
    <x:fill>
      <x:patternFill patternType="solid">
        <x:fgColor rgb="FFA64D79"/>
      </x:patternFill>
    </x:fill>
    <x:fill>
      <x:patternFill patternType="solid">
        <x:fgColor rgb="FFE4DFEC"/>
      </x:patternFill>
    </x:fill>
    <x:fill>
      <x:patternFill patternType="solid">
        <x:fgColor rgb="FFF4EEF8"/>
      </x:patternFill>
    </x:fill>
    <x:fill>
      <x:patternFill patternType="solid">
        <x:fgColor rgb="FF548235"/>
      </x:patternFill>
    </x:fill>
    <x:fill>
      <x:patternFill patternType="solid">
        <x:fgColor rgb="FF33CC66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5B2C83"/>
      </x:patternFill>
    </x:fill>
    <x:fill>
      <x:patternFill patternType="solid">
        <x:fgColor rgb="FF8064A2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</x:borders>
  <x:cellStyleXfs count="1">
    <x:xf numFmtId="0" fontId="0" fillId="0" borderId="0"/>
  </x:cellStyleXfs>
  <x:cellXfs count="209">
    <x:xf numFmtId="0" fontId="0" fillId="0" borderId="0" xfId="0"/>
    <x:xf numFmtId="0" fontId="1" fillId="2" borderId="0" xfId="0" applyFont="1" applyFill="1"/>
    <x:xf numFmtId="0" fontId="2" fillId="3" borderId="1" xfId="0" applyFont="1" applyFill="1" applyBorder="1" applyAlignment="1">
      <x:alignment horizontal="left" vertical="center"/>
    </x:xf>
    <x:xf numFmtId="0" fontId="1" fillId="0" borderId="0" xfId="0" applyFont="1"/>
    <x:xf numFmtId="0" fontId="3" fillId="4" borderId="1" xfId="0" applyFont="1" applyFill="1" applyBorder="1" applyAlignment="1">
      <x:alignment horizontal="left" vertical="center"/>
    </x:xf>
    <x:xf numFmtId="0" fontId="3" fillId="4" borderId="1" xfId="0" applyFont="1" applyFill="1" applyBorder="1" applyAlignment="1">
      <x:alignment horizontal="left" vertical="center"/>
    </x:xf>
    <x:xf numFmtId="0" fontId="4" fillId="5" borderId="1" xfId="0" applyFont="1" applyFill="1" applyBorder="1" applyAlignment="1">
      <x:alignment horizontal="left" vertical="center"/>
    </x:xf>
    <x:xf numFmtId="0" fontId="4" fillId="5" borderId="1" xfId="0" applyFont="1" applyFill="1" applyBorder="1" applyAlignment="1">
      <x:alignment horizontal="left" vertical="center"/>
    </x:xf>
    <x:xf numFmtId="0" fontId="5" fillId="6" borderId="1" xfId="0" applyFont="1" applyFill="1" applyBorder="1" applyAlignment="1">
      <x:alignment horizontal="left" vertical="center"/>
    </x:xf>
    <x:xf numFmtId="0" fontId="5" fillId="6" borderId="1" xfId="0" applyFont="1" applyFill="1" applyBorder="1" applyAlignment="1">
      <x:alignment horizontal="left" vertical="center"/>
    </x:xf>
    <x:xf numFmtId="0" fontId="2" fillId="7" borderId="1" xfId="0" applyFont="1" applyFill="1" applyBorder="1" applyAlignment="1">
      <x:alignment horizontal="left" vertical="center"/>
    </x:xf>
    <x:xf numFmtId="0" fontId="3" fillId="8" borderId="1" xfId="0" applyFont="1" applyFill="1" applyBorder="1" applyAlignment="1">
      <x:alignment horizontal="left" vertical="center"/>
    </x:xf>
    <x:xf numFmtId="14" fontId="1" fillId="0" borderId="0" xfId="0" applyNumberFormat="1" applyFont="1"/>
    <x:xf numFmtId="0" fontId="4" fillId="11" borderId="1" xfId="0" applyFont="1" applyFill="1" applyBorder="1" applyAlignment="1">
      <x:alignment horizontal="left" vertical="center"/>
    </x:xf>
    <x:xf numFmtId="0" fontId="5" fillId="12" borderId="1" xfId="0" applyFont="1" applyFill="1" applyBorder="1" applyAlignment="1">
      <x:alignment horizontal="left" vertical="center"/>
    </x:xf>
    <x:xf numFmtId="0" fontId="3" fillId="8" borderId="1" xfId="0" applyFont="1" applyFill="1" applyBorder="1" applyAlignment="1">
      <x:alignment horizontal="left" vertical="center"/>
    </x:xf>
    <x:xf numFmtId="0" fontId="4" fillId="11" borderId="1" xfId="0" applyFont="1" applyFill="1" applyBorder="1" applyAlignment="1">
      <x:alignment horizontal="left" vertical="center"/>
    </x:xf>
    <x:xf numFmtId="0" fontId="5" fillId="12" borderId="1" xfId="0" applyFont="1" applyFill="1" applyBorder="1" applyAlignment="1">
      <x:alignment horizontal="left" vertical="center"/>
    </x:xf>
    <x:xf numFmtId="0" fontId="2" fillId="9" borderId="1" xfId="0" applyFont="1" applyFill="1" applyBorder="1" applyAlignment="1">
      <x:alignment horizontal="left" vertical="center"/>
    </x:xf>
    <x:xf numFmtId="0" fontId="3" fillId="10" borderId="1" xfId="0" applyFont="1" applyFill="1" applyBorder="1" applyAlignment="1">
      <x:alignment horizontal="left" vertical="center"/>
    </x:xf>
    <x:xf numFmtId="0" fontId="3" fillId="10" borderId="1" xfId="0" applyFont="1" applyFill="1" applyBorder="1" applyAlignment="1">
      <x:alignment horizontal="left" vertical="center"/>
    </x:xf>
    <x:xf numFmtId="0" fontId="2" fillId="13" borderId="1" xfId="0" applyFont="1" applyFill="1" applyBorder="1" applyAlignment="1">
      <x:alignment horizontal="left" vertical="center"/>
    </x:xf>
    <x:xf numFmtId="0" fontId="3" fillId="14" borderId="1" xfId="0" applyFont="1" applyFill="1" applyBorder="1" applyAlignment="1">
      <x:alignment horizontal="left" vertical="center"/>
    </x:xf>
    <x:xf numFmtId="0" fontId="3" fillId="14" borderId="1" xfId="0" applyFont="1" applyFill="1" applyBorder="1" applyAlignment="1">
      <x:alignment horizontal="left" vertical="center"/>
    </x:xf>
    <x:xf numFmtId="0" fontId="2" fillId="15" borderId="1" xfId="0" applyFont="1" applyFill="1" applyBorder="1" applyAlignment="1">
      <x:alignment horizontal="left" vertical="center"/>
    </x:xf>
    <x:xf numFmtId="0" fontId="3" fillId="16" borderId="1" xfId="0" applyFont="1" applyFill="1" applyBorder="1" applyAlignment="1">
      <x:alignment horizontal="left" vertical="center"/>
    </x:xf>
    <x:xf numFmtId="0" fontId="3" fillId="16" borderId="1" xfId="0" applyFont="1" applyFill="1" applyBorder="1" applyAlignment="1">
      <x:alignment horizontal="left" vertical="center"/>
    </x:xf>
    <x:xf numFmtId="0" fontId="1" fillId="17" borderId="0" xfId="0" applyFont="1" applyFill="1"/>
    <x:xf numFmtId="0" fontId="6" fillId="17" borderId="0" xfId="0" applyFont="1" applyFill="1"/>
    <x:xf numFmtId="0" fontId="6" fillId="5" borderId="1" xfId="0" applyFont="1" applyFill="1" applyBorder="1" applyAlignment="1">
      <x:alignment vertical="center"/>
    </x:xf>
    <x:xf numFmtId="0" fontId="6" fillId="0" borderId="0" xfId="0" applyFont="1"/>
    <x:xf numFmtId="0" fontId="8" fillId="7" borderId="1" xfId="0" applyFont="1" applyFill="1" applyBorder="1" applyAlignment="1">
      <x:alignment horizontal="left" vertical="center"/>
    </x:xf>
    <x:xf numFmtId="0" fontId="7" fillId="8" borderId="1" xfId="0" applyFont="1" applyFill="1" applyBorder="1" applyAlignment="1">
      <x:alignment horizontal="left" vertical="center"/>
    </x:xf>
    <x:xf numFmtId="0" fontId="9" fillId="8" borderId="1" xfId="0" applyFont="1" applyFill="1" applyBorder="1" applyAlignment="1">
      <x:alignment horizontal="left" vertical="center"/>
    </x:xf>
    <x:xf numFmtId="14" fontId="1" fillId="0" borderId="0" xfId="0" applyNumberFormat="1" applyFont="1" applyAlignment="1">
      <x:alignment horizontal="right"/>
    </x:xf>
    <x:xf numFmtId="0" fontId="1" fillId="0" borderId="0" xfId="0" applyFont="1" applyAlignment="1">
      <x:alignment horizontal="right"/>
    </x:xf>
    <x:xf numFmtId="0" fontId="10" fillId="13" borderId="1" xfId="0" applyFont="1" applyFill="1" applyBorder="1" applyAlignment="1">
      <x:alignment horizontal="left" vertical="center"/>
    </x:xf>
    <x:xf numFmtId="0" fontId="11" fillId="15" borderId="1" xfId="0" applyFont="1" applyFill="1" applyBorder="1" applyAlignment="1">
      <x:alignment horizontal="left" vertical="center"/>
    </x:xf>
    <x:xf numFmtId="0" fontId="11" fillId="9" borderId="1" xfId="0" applyFont="1" applyFill="1" applyBorder="1" applyAlignment="1">
      <x:alignment horizontal="left" vertical="center"/>
    </x:xf>
    <x:xf numFmtId="0" fontId="1" fillId="18" borderId="0" xfId="0" applyFont="1" applyFill="1"/>
    <x:xf numFmtId="0" fontId="1" fillId="19" borderId="0" xfId="0" applyFont="1" applyFill="1"/>
    <x:xf numFmtId="0" fontId="1" fillId="20" borderId="0" xfId="0" applyFont="1" applyFill="1"/>
    <x:xf numFmtId="0" fontId="0" fillId="21" borderId="0" xfId="0" applyFill="1"/>
    <x:xf numFmtId="0" fontId="0" fillId="22" borderId="0" xfId="0" applyFill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5" fontId="1" fillId="2" borderId="0" xfId="0" applyNumberFormat="1" applyFont="1" applyFill="1" applyBorder="1"/>
    <x:xf numFmtId="206" fontId="1" fillId="2" borderId="0" xfId="0" applyNumberFormat="1" applyFont="1" applyFill="1" applyBorder="1"/>
    <x:xf numFmtId="207" fontId="1" fillId="2" borderId="0" xfId="0" applyNumberFormat="1" applyFont="1" applyFill="1" applyBorder="1"/>
    <x:xf numFmtId="208" fontId="1" fillId="2" borderId="0" xfId="0" applyNumberFormat="1" applyFont="1" applyFill="1" applyBorder="1"/>
    <x:xf numFmtId="209" fontId="1" fillId="2" borderId="0" xfId="0" applyNumberFormat="1" applyFont="1" applyFill="1" applyBorder="1"/>
    <x:xf numFmtId="210" fontId="1" fillId="2" borderId="0" xfId="0" applyNumberFormat="1" applyFont="1" applyFill="1" applyBorder="1"/>
    <x:xf numFmtId="211" fontId="1" fillId="2" borderId="0" xfId="0" applyNumberFormat="1" applyFont="1" applyFill="1" applyBorder="1"/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0" fontId="1" fillId="23" borderId="0" xfId="0" applyNumberFormat="1" applyFont="1" applyFill="1" applyBorder="1"/>
    <x:xf numFmtId="200" fontId="1" fillId="23" borderId="0" xfId="0" applyNumberFormat="1" applyFont="1" applyFill="1" applyBorder="1"/>
    <x:xf numFmtId="201" fontId="1" fillId="23" borderId="0" xfId="0" applyNumberFormat="1" applyFont="1" applyFill="1" applyBorder="1"/>
    <x:xf numFmtId="202" fontId="1" fillId="23" borderId="0" xfId="0" applyNumberFormat="1" applyFont="1" applyFill="1" applyBorder="1"/>
    <x:xf numFmtId="203" fontId="1" fillId="23" borderId="0" xfId="0" applyNumberFormat="1" applyFont="1" applyFill="1" applyBorder="1"/>
    <x:xf numFmtId="204" fontId="1" fillId="23" borderId="0" xfId="0" applyNumberFormat="1" applyFont="1" applyFill="1" applyBorder="1"/>
    <x:xf numFmtId="205" fontId="1" fillId="23" borderId="0" xfId="0" applyNumberFormat="1" applyFont="1" applyFill="1" applyBorder="1"/>
    <x:xf numFmtId="206" fontId="1" fillId="23" borderId="0" xfId="0" applyNumberFormat="1" applyFont="1" applyFill="1" applyBorder="1"/>
    <x:xf numFmtId="207" fontId="1" fillId="23" borderId="0" xfId="0" applyNumberFormat="1" applyFont="1" applyFill="1" applyBorder="1"/>
    <x:xf numFmtId="208" fontId="1" fillId="23" borderId="0" xfId="0" applyNumberFormat="1" applyFont="1" applyFill="1" applyBorder="1"/>
    <x:xf numFmtId="209" fontId="1" fillId="23" borderId="0" xfId="0" applyNumberFormat="1" applyFont="1" applyFill="1" applyBorder="1"/>
    <x:xf numFmtId="210" fontId="1" fillId="23" borderId="0" xfId="0" applyNumberFormat="1" applyFont="1" applyFill="1" applyBorder="1"/>
    <x:xf numFmtId="211" fontId="1" fillId="23" borderId="0" xfId="0" applyNumberFormat="1" applyFont="1" applyFill="1" applyBorder="1"/>
    <x:xf numFmtId="212" fontId="0" fillId="23" borderId="0" xfId="0" applyNumberFormat="1" applyFont="1" applyFill="1" applyBorder="1"/>
    <x:xf numFmtId="213" fontId="0" fillId="23" borderId="0" xfId="0" applyNumberFormat="1" applyFont="1" applyFill="1" applyBorder="1"/>
    <x:xf numFmtId="0" fontId="12" fillId="23" borderId="0" xfId="0" applyNumberFormat="1" applyFont="1" applyFill="1" applyBorder="1"/>
    <x:xf numFmtId="200" fontId="12" fillId="23" borderId="0" xfId="0" applyNumberFormat="1" applyFont="1" applyFill="1" applyBorder="1"/>
    <x:xf numFmtId="201" fontId="12" fillId="23" borderId="0" xfId="0" applyNumberFormat="1" applyFont="1" applyFill="1" applyBorder="1"/>
    <x:xf numFmtId="202" fontId="12" fillId="23" borderId="0" xfId="0" applyNumberFormat="1" applyFont="1" applyFill="1" applyBorder="1"/>
    <x:xf numFmtId="203" fontId="12" fillId="23" borderId="0" xfId="0" applyNumberFormat="1" applyFont="1" applyFill="1" applyBorder="1"/>
    <x:xf numFmtId="204" fontId="12" fillId="23" borderId="0" xfId="0" applyNumberFormat="1" applyFont="1" applyFill="1" applyBorder="1"/>
    <x:xf numFmtId="205" fontId="12" fillId="23" borderId="0" xfId="0" applyNumberFormat="1" applyFont="1" applyFill="1" applyBorder="1"/>
    <x:xf numFmtId="206" fontId="12" fillId="23" borderId="0" xfId="0" applyNumberFormat="1" applyFont="1" applyFill="1" applyBorder="1"/>
    <x:xf numFmtId="207" fontId="12" fillId="23" borderId="0" xfId="0" applyNumberFormat="1" applyFont="1" applyFill="1" applyBorder="1"/>
    <x:xf numFmtId="208" fontId="12" fillId="23" borderId="0" xfId="0" applyNumberFormat="1" applyFont="1" applyFill="1" applyBorder="1"/>
    <x:xf numFmtId="209" fontId="12" fillId="23" borderId="0" xfId="0" applyNumberFormat="1" applyFont="1" applyFill="1" applyBorder="1"/>
    <x:xf numFmtId="210" fontId="12" fillId="23" borderId="0" xfId="0" applyNumberFormat="1" applyFont="1" applyFill="1" applyBorder="1"/>
    <x:xf numFmtId="211" fontId="12" fillId="23" borderId="0" xfId="0" applyNumberFormat="1" applyFont="1" applyFill="1" applyBorder="1"/>
    <x:xf numFmtId="212" fontId="12" fillId="23" borderId="0" xfId="0" applyNumberFormat="1" applyFont="1" applyFill="1" applyBorder="1"/>
    <x:xf numFmtId="213" fontId="12" fillId="23" borderId="0" xfId="0" applyNumberFormat="1" applyFont="1" applyFill="1" applyBorder="1"/>
    <x:xf numFmtId="0" fontId="12" fillId="23" borderId="2" xfId="0" applyNumberFormat="1" applyFont="1" applyFill="1" applyBorder="1"/>
    <x:xf numFmtId="200" fontId="12" fillId="23" borderId="2" xfId="0" applyNumberFormat="1" applyFont="1" applyFill="1" applyBorder="1"/>
    <x:xf numFmtId="201" fontId="12" fillId="23" borderId="2" xfId="0" applyNumberFormat="1" applyFont="1" applyFill="1" applyBorder="1"/>
    <x:xf numFmtId="202" fontId="12" fillId="23" borderId="2" xfId="0" applyNumberFormat="1" applyFont="1" applyFill="1" applyBorder="1"/>
    <x:xf numFmtId="203" fontId="12" fillId="23" borderId="2" xfId="0" applyNumberFormat="1" applyFont="1" applyFill="1" applyBorder="1"/>
    <x:xf numFmtId="204" fontId="12" fillId="23" borderId="2" xfId="0" applyNumberFormat="1" applyFont="1" applyFill="1" applyBorder="1"/>
    <x:xf numFmtId="205" fontId="12" fillId="23" borderId="2" xfId="0" applyNumberFormat="1" applyFont="1" applyFill="1" applyBorder="1"/>
    <x:xf numFmtId="206" fontId="12" fillId="23" borderId="2" xfId="0" applyNumberFormat="1" applyFont="1" applyFill="1" applyBorder="1"/>
    <x:xf numFmtId="207" fontId="12" fillId="23" borderId="2" xfId="0" applyNumberFormat="1" applyFont="1" applyFill="1" applyBorder="1"/>
    <x:xf numFmtId="208" fontId="12" fillId="23" borderId="2" xfId="0" applyNumberFormat="1" applyFont="1" applyFill="1" applyBorder="1"/>
    <x:xf numFmtId="209" fontId="12" fillId="23" borderId="2" xfId="0" applyNumberFormat="1" applyFont="1" applyFill="1" applyBorder="1"/>
    <x:xf numFmtId="210" fontId="12" fillId="23" borderId="2" xfId="0" applyNumberFormat="1" applyFont="1" applyFill="1" applyBorder="1"/>
    <x:xf numFmtId="211" fontId="12" fillId="23" borderId="2" xfId="0" applyNumberFormat="1" applyFont="1" applyFill="1" applyBorder="1"/>
    <x:xf numFmtId="212" fontId="12" fillId="23" borderId="2" xfId="0" applyNumberFormat="1" applyFont="1" applyFill="1" applyBorder="1"/>
    <x:xf numFmtId="213" fontId="12" fillId="23" borderId="2" xfId="0" applyNumberFormat="1" applyFont="1" applyFill="1" applyBorder="1"/>
    <x:xf numFmtId="0" fontId="12" fillId="23" borderId="2" xfId="0" applyNumberFormat="1" applyFont="1" applyFill="1" applyBorder="1" applyAlignment="1">
      <x:alignment horizontal="center"/>
    </x:xf>
    <x:xf numFmtId="200" fontId="12" fillId="23" borderId="2" xfId="0" applyNumberFormat="1" applyFont="1" applyFill="1" applyBorder="1" applyAlignment="1">
      <x:alignment horizontal="center"/>
    </x:xf>
    <x:xf numFmtId="201" fontId="12" fillId="23" borderId="2" xfId="0" applyNumberFormat="1" applyFont="1" applyFill="1" applyBorder="1" applyAlignment="1">
      <x:alignment horizontal="center"/>
    </x:xf>
    <x:xf numFmtId="202" fontId="12" fillId="23" borderId="2" xfId="0" applyNumberFormat="1" applyFont="1" applyFill="1" applyBorder="1" applyAlignment="1">
      <x:alignment horizontal="center"/>
    </x:xf>
    <x:xf numFmtId="203" fontId="12" fillId="23" borderId="2" xfId="0" applyNumberFormat="1" applyFont="1" applyFill="1" applyBorder="1" applyAlignment="1">
      <x:alignment horizontal="center"/>
    </x:xf>
    <x:xf numFmtId="204" fontId="12" fillId="23" borderId="2" xfId="0" applyNumberFormat="1" applyFont="1" applyFill="1" applyBorder="1" applyAlignment="1">
      <x:alignment horizontal="center"/>
    </x:xf>
    <x:xf numFmtId="205" fontId="12" fillId="23" borderId="2" xfId="0" applyNumberFormat="1" applyFont="1" applyFill="1" applyBorder="1" applyAlignment="1">
      <x:alignment horizontal="center"/>
    </x:xf>
    <x:xf numFmtId="206" fontId="12" fillId="23" borderId="2" xfId="0" applyNumberFormat="1" applyFont="1" applyFill="1" applyBorder="1" applyAlignment="1">
      <x:alignment horizontal="center"/>
    </x:xf>
    <x:xf numFmtId="207" fontId="12" fillId="23" borderId="2" xfId="0" applyNumberFormat="1" applyFont="1" applyFill="1" applyBorder="1" applyAlignment="1">
      <x:alignment horizontal="center"/>
    </x:xf>
    <x:xf numFmtId="208" fontId="12" fillId="23" borderId="2" xfId="0" applyNumberFormat="1" applyFont="1" applyFill="1" applyBorder="1" applyAlignment="1">
      <x:alignment horizontal="center"/>
    </x:xf>
    <x:xf numFmtId="209" fontId="12" fillId="23" borderId="2" xfId="0" applyNumberFormat="1" applyFont="1" applyFill="1" applyBorder="1" applyAlignment="1">
      <x:alignment horizontal="center"/>
    </x:xf>
    <x:xf numFmtId="210" fontId="12" fillId="23" borderId="2" xfId="0" applyNumberFormat="1" applyFont="1" applyFill="1" applyBorder="1" applyAlignment="1">
      <x:alignment horizontal="center"/>
    </x:xf>
    <x:xf numFmtId="211" fontId="12" fillId="23" borderId="2" xfId="0" applyNumberFormat="1" applyFont="1" applyFill="1" applyBorder="1" applyAlignment="1">
      <x:alignment horizontal="center"/>
    </x:xf>
    <x:xf numFmtId="212" fontId="12" fillId="23" borderId="2" xfId="0" applyNumberFormat="1" applyFont="1" applyFill="1" applyBorder="1" applyAlignment="1">
      <x:alignment horizontal="center"/>
    </x:xf>
    <x:xf numFmtId="213" fontId="12" fillId="23" borderId="2" xfId="0" applyNumberFormat="1" applyFont="1" applyFill="1" applyBorder="1" applyAlignment="1">
      <x:alignment horizontal="center"/>
    </x:xf>
    <x:xf numFmtId="0" fontId="12" fillId="23" borderId="2" xfId="0" applyNumberFormat="1" applyFont="1" applyFill="1" applyBorder="1" applyAlignment="1">
      <x:alignment horizontal="center" vertical="center"/>
    </x:xf>
    <x:xf numFmtId="200" fontId="12" fillId="23" borderId="2" xfId="0" applyNumberFormat="1" applyFont="1" applyFill="1" applyBorder="1" applyAlignment="1">
      <x:alignment horizontal="center" vertical="center"/>
    </x:xf>
    <x:xf numFmtId="201" fontId="12" fillId="23" borderId="2" xfId="0" applyNumberFormat="1" applyFont="1" applyFill="1" applyBorder="1" applyAlignment="1">
      <x:alignment horizontal="center" vertical="center"/>
    </x:xf>
    <x:xf numFmtId="202" fontId="12" fillId="23" borderId="2" xfId="0" applyNumberFormat="1" applyFont="1" applyFill="1" applyBorder="1" applyAlignment="1">
      <x:alignment horizontal="center" vertical="center"/>
    </x:xf>
    <x:xf numFmtId="203" fontId="12" fillId="23" borderId="2" xfId="0" applyNumberFormat="1" applyFont="1" applyFill="1" applyBorder="1" applyAlignment="1">
      <x:alignment horizontal="center" vertical="center"/>
    </x:xf>
    <x:xf numFmtId="204" fontId="12" fillId="23" borderId="2" xfId="0" applyNumberFormat="1" applyFont="1" applyFill="1" applyBorder="1" applyAlignment="1">
      <x:alignment horizontal="center" vertical="center"/>
    </x:xf>
    <x:xf numFmtId="205" fontId="12" fillId="23" borderId="2" xfId="0" applyNumberFormat="1" applyFont="1" applyFill="1" applyBorder="1" applyAlignment="1">
      <x:alignment horizontal="center" vertical="center"/>
    </x:xf>
    <x:xf numFmtId="206" fontId="12" fillId="23" borderId="2" xfId="0" applyNumberFormat="1" applyFont="1" applyFill="1" applyBorder="1" applyAlignment="1">
      <x:alignment horizontal="center" vertical="center"/>
    </x:xf>
    <x:xf numFmtId="207" fontId="12" fillId="23" borderId="2" xfId="0" applyNumberFormat="1" applyFont="1" applyFill="1" applyBorder="1" applyAlignment="1">
      <x:alignment horizontal="center" vertical="center"/>
    </x:xf>
    <x:xf numFmtId="208" fontId="12" fillId="23" borderId="2" xfId="0" applyNumberFormat="1" applyFont="1" applyFill="1" applyBorder="1" applyAlignment="1">
      <x:alignment horizontal="center" vertical="center"/>
    </x:xf>
    <x:xf numFmtId="209" fontId="12" fillId="23" borderId="2" xfId="0" applyNumberFormat="1" applyFont="1" applyFill="1" applyBorder="1" applyAlignment="1">
      <x:alignment horizontal="center" vertical="center"/>
    </x:xf>
    <x:xf numFmtId="210" fontId="12" fillId="23" borderId="2" xfId="0" applyNumberFormat="1" applyFont="1" applyFill="1" applyBorder="1" applyAlignment="1">
      <x:alignment horizontal="center" vertical="center"/>
    </x:xf>
    <x:xf numFmtId="211" fontId="12" fillId="23" borderId="2" xfId="0" applyNumberFormat="1" applyFont="1" applyFill="1" applyBorder="1" applyAlignment="1">
      <x:alignment horizontal="center" vertical="center"/>
    </x:xf>
    <x:xf numFmtId="212" fontId="12" fillId="23" borderId="2" xfId="0" applyNumberFormat="1" applyFont="1" applyFill="1" applyBorder="1" applyAlignment="1">
      <x:alignment horizontal="center" vertical="center"/>
    </x:xf>
    <x:xf numFmtId="213" fontId="12" fillId="23" borderId="2" xfId="0" applyNumberFormat="1" applyFont="1" applyFill="1" applyBorder="1" applyAlignment="1">
      <x:alignment horizontal="center" vertical="center"/>
    </x:xf>
    <x:xf numFmtId="214" fontId="12" fillId="23" borderId="2" xfId="0" applyNumberFormat="1" applyFont="1" applyFill="1" applyBorder="1" applyAlignment="1">
      <x:alignment horizontal="center" vertical="center"/>
    </x:xf>
    <x:xf numFmtId="215" fontId="0" fillId="0" borderId="0" xfId="0" applyNumberFormat="1" applyFont="1" applyFill="1" applyBorder="1"/>
    <x:xf numFmtId="0" fontId="13" fillId="0" borderId="0" xfId="0" applyNumberFormat="1" applyFont="1" applyFill="1" applyBorder="1"/>
    <x:xf numFmtId="215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215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center" vertical="center"/>
    </x:xf>
    <x:xf numFmtId="215" fontId="13" fillId="0" borderId="0" xfId="0" applyNumberFormat="1" applyFont="1" applyFill="1" applyBorder="1" applyAlignment="1">
      <x:alignment horizontal="center" vertical="center"/>
    </x:xf>
    <x:xf numFmtId="0" fontId="13" fillId="0" borderId="3" xfId="0" applyNumberFormat="1" applyFont="1" applyFill="1" applyBorder="1" applyAlignment="1">
      <x:alignment horizontal="left" vertical="center"/>
    </x:xf>
    <x:xf numFmtId="0" fontId="13" fillId="0" borderId="3" xfId="0" applyNumberFormat="1" applyFont="1" applyFill="1" applyBorder="1" applyAlignment="1">
      <x:alignment horizontal="center" vertical="center"/>
    </x:xf>
    <x:xf numFmtId="215" fontId="13" fillId="0" borderId="3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left" vertical="center"/>
    </x:xf>
    <x:xf numFmtId="0" fontId="13" fillId="0" borderId="4" xfId="0" applyNumberFormat="1" applyFont="1" applyFill="1" applyBorder="1" applyAlignment="1">
      <x:alignment horizontal="center" vertical="center"/>
    </x:xf>
    <x:xf numFmtId="215" fontId="13" fillId="0" borderId="4" xfId="0" applyNumberFormat="1" applyFont="1" applyFill="1" applyBorder="1" applyAlignment="1">
      <x:alignment horizontal="center" vertical="center"/>
    </x:xf>
    <x:xf numFmtId="0" fontId="13" fillId="24" borderId="0" xfId="0" applyNumberFormat="1" applyFont="1" applyFill="1" applyBorder="1"/>
    <x:xf numFmtId="0" fontId="13" fillId="24" borderId="5" xfId="0" applyNumberFormat="1" applyFont="1" applyFill="1" applyBorder="1"/>
    <x:xf numFmtId="0" fontId="13" fillId="25" borderId="3" xfId="0" applyNumberFormat="1" applyFont="1" applyFill="1" applyBorder="1" applyAlignment="1">
      <x:alignment horizontal="left" vertical="center"/>
    </x:xf>
    <x:xf numFmtId="0" fontId="13" fillId="25" borderId="3" xfId="0" applyNumberFormat="1" applyFont="1" applyFill="1" applyBorder="1" applyAlignment="1">
      <x:alignment horizontal="center" vertical="center"/>
    </x:xf>
    <x:xf numFmtId="0" fontId="3" fillId="25" borderId="3" xfId="0" applyNumberFormat="1" applyFont="1" applyFill="1" applyBorder="1" applyAlignment="1">
      <x:alignment horizontal="left" vertical="center"/>
    </x:xf>
    <x:xf numFmtId="0" fontId="3" fillId="25" borderId="3" xfId="0" applyNumberFormat="1" applyFont="1" applyFill="1" applyBorder="1" applyAlignment="1">
      <x:alignment horizontal="center" vertical="center"/>
    </x:xf>
    <x:xf numFmtId="0" fontId="3" fillId="25" borderId="1" xfId="0" applyNumberFormat="1" applyFont="1" applyFill="1" applyBorder="1" applyAlignment="1">
      <x:alignment horizontal="left" vertical="center"/>
    </x:xf>
    <x:xf numFmtId="0" fontId="3" fillId="25" borderId="1" xfId="0" applyNumberFormat="1" applyFont="1" applyFill="1" applyBorder="1" applyAlignment="1">
      <x:alignment horizontal="center" vertical="center"/>
    </x:xf>
    <x:xf numFmtId="0" fontId="13" fillId="26" borderId="5" xfId="0" applyNumberFormat="1" applyFont="1" applyFill="1" applyBorder="1"/>
    <x:xf numFmtId="0" fontId="13" fillId="27" borderId="4" xfId="0" applyNumberFormat="1" applyFont="1" applyFill="1" applyBorder="1" applyAlignment="1">
      <x:alignment horizontal="left" vertical="center"/>
    </x:xf>
    <x:xf numFmtId="0" fontId="13" fillId="27" borderId="4" xfId="0" applyNumberFormat="1" applyFont="1" applyFill="1" applyBorder="1" applyAlignment="1">
      <x:alignment horizontal="center" vertical="center"/>
    </x:xf>
    <x:xf numFmtId="0" fontId="3" fillId="27" borderId="4" xfId="0" applyNumberFormat="1" applyFont="1" applyFill="1" applyBorder="1" applyAlignment="1">
      <x:alignment horizontal="left" vertical="center"/>
    </x:xf>
    <x:xf numFmtId="0" fontId="3" fillId="27" borderId="4" xfId="0" applyNumberFormat="1" applyFont="1" applyFill="1" applyBorder="1" applyAlignment="1">
      <x:alignment horizontal="center" vertical="center"/>
    </x:xf>
    <x:xf numFmtId="0" fontId="3" fillId="27" borderId="1" xfId="0" applyNumberFormat="1" applyFont="1" applyFill="1" applyBorder="1" applyAlignment="1">
      <x:alignment horizontal="left" vertical="center"/>
    </x:xf>
    <x:xf numFmtId="0" fontId="3" fillId="27" borderId="1" xfId="0" applyNumberFormat="1" applyFont="1" applyFill="1" applyBorder="1" applyAlignment="1">
      <x:alignment horizontal="center" vertical="center"/>
    </x:xf>
    <x:xf numFmtId="0" fontId="13" fillId="28" borderId="4" xfId="0" applyNumberFormat="1" applyFont="1" applyFill="1" applyBorder="1" applyAlignment="1">
      <x:alignment horizontal="left" vertical="center"/>
    </x:xf>
    <x:xf numFmtId="0" fontId="13" fillId="28" borderId="4" xfId="0" applyNumberFormat="1" applyFont="1" applyFill="1" applyBorder="1" applyAlignment="1">
      <x:alignment horizontal="center" vertical="center"/>
    </x:xf>
    <x:xf numFmtId="0" fontId="12" fillId="28" borderId="4" xfId="0" applyNumberFormat="1" applyFont="1" applyFill="1" applyBorder="1" applyAlignment="1">
      <x:alignment horizontal="left" vertical="center"/>
    </x:xf>
    <x:xf numFmtId="0" fontId="12" fillId="28" borderId="4" xfId="0" applyNumberFormat="1" applyFont="1" applyFill="1" applyBorder="1" applyAlignment="1">
      <x:alignment horizontal="center" vertical="center"/>
    </x:xf>
    <x:xf numFmtId="0" fontId="12" fillId="28" borderId="1" xfId="0" applyNumberFormat="1" applyFont="1" applyFill="1" applyBorder="1" applyAlignment="1">
      <x:alignment horizontal="left" vertical="center"/>
    </x:xf>
    <x:xf numFmtId="0" fontId="12" fillId="28" borderId="1" xfId="0" applyNumberFormat="1" applyFont="1" applyFill="1" applyBorder="1" applyAlignment="1">
      <x:alignment horizontal="center" vertical="center"/>
    </x:xf>
    <x:xf numFmtId="0" fontId="13" fillId="29" borderId="4" xfId="0" applyNumberFormat="1" applyFont="1" applyFill="1" applyBorder="1" applyAlignment="1">
      <x:alignment horizontal="left" vertical="center"/>
    </x:xf>
    <x:xf numFmtId="0" fontId="13" fillId="29" borderId="4" xfId="0" applyNumberFormat="1" applyFont="1" applyFill="1" applyBorder="1" applyAlignment="1">
      <x:alignment horizontal="center" vertical="center"/>
    </x:xf>
    <x:xf numFmtId="0" fontId="14" fillId="29" borderId="4" xfId="0" applyNumberFormat="1" applyFont="1" applyFill="1" applyBorder="1" applyAlignment="1">
      <x:alignment horizontal="left" vertical="center"/>
    </x:xf>
    <x:xf numFmtId="0" fontId="14" fillId="29" borderId="4" xfId="0" applyNumberFormat="1" applyFont="1" applyFill="1" applyBorder="1" applyAlignment="1">
      <x:alignment horizontal="center" vertical="center"/>
    </x:xf>
    <x:xf numFmtId="0" fontId="14" fillId="29" borderId="1" xfId="0" applyNumberFormat="1" applyFont="1" applyFill="1" applyBorder="1" applyAlignment="1">
      <x:alignment horizontal="left" vertical="center"/>
    </x:xf>
    <x:xf numFmtId="0" fontId="14" fillId="29" borderId="1" xfId="0" applyNumberFormat="1" applyFont="1" applyFill="1" applyBorder="1" applyAlignment="1">
      <x:alignment horizontal="center" vertical="center"/>
    </x:xf>
    <x:xf numFmtId="0" fontId="13" fillId="30" borderId="4" xfId="0" applyNumberFormat="1" applyFont="1" applyFill="1" applyBorder="1" applyAlignment="1">
      <x:alignment horizontal="left" vertical="center"/>
    </x:xf>
    <x:xf numFmtId="0" fontId="13" fillId="30" borderId="4" xfId="0" applyNumberFormat="1" applyFont="1" applyFill="1" applyBorder="1" applyAlignment="1">
      <x:alignment horizontal="center" vertical="center"/>
    </x:xf>
    <x:xf numFmtId="0" fontId="3" fillId="30" borderId="4" xfId="0" applyNumberFormat="1" applyFont="1" applyFill="1" applyBorder="1" applyAlignment="1">
      <x:alignment horizontal="left" vertical="center"/>
    </x:xf>
    <x:xf numFmtId="0" fontId="3" fillId="30" borderId="4" xfId="0" applyNumberFormat="1" applyFont="1" applyFill="1" applyBorder="1" applyAlignment="1">
      <x:alignment horizontal="center" vertical="center"/>
    </x:xf>
    <x:xf numFmtId="0" fontId="3" fillId="30" borderId="1" xfId="0" applyNumberFormat="1" applyFont="1" applyFill="1" applyBorder="1" applyAlignment="1">
      <x:alignment horizontal="left" vertical="center"/>
    </x:xf>
    <x:xf numFmtId="0" fontId="3" fillId="30" borderId="1" xfId="0" applyNumberFormat="1" applyFont="1" applyFill="1" applyBorder="1" applyAlignment="1">
      <x:alignment horizontal="center" vertical="center"/>
    </x:xf>
    <x:xf numFmtId="0" fontId="13" fillId="31" borderId="5" xfId="0" applyNumberFormat="1" applyFont="1" applyFill="1" applyBorder="1"/>
    <x:xf numFmtId="0" fontId="13" fillId="32" borderId="4" xfId="0" applyNumberFormat="1" applyFont="1" applyFill="1" applyBorder="1" applyAlignment="1">
      <x:alignment horizontal="left" vertical="center"/>
    </x:xf>
    <x:xf numFmtId="0" fontId="13" fillId="32" borderId="4" xfId="0" applyNumberFormat="1" applyFont="1" applyFill="1" applyBorder="1" applyAlignment="1">
      <x:alignment horizontal="center" vertical="center"/>
    </x:xf>
    <x:xf numFmtId="0" fontId="3" fillId="32" borderId="4" xfId="0" applyNumberFormat="1" applyFont="1" applyFill="1" applyBorder="1" applyAlignment="1">
      <x:alignment horizontal="left" vertical="center"/>
    </x:xf>
    <x:xf numFmtId="0" fontId="3" fillId="32" borderId="4" xfId="0" applyNumberFormat="1" applyFont="1" applyFill="1" applyBorder="1" applyAlignment="1">
      <x:alignment horizontal="center" vertical="center"/>
    </x:xf>
    <x:xf numFmtId="0" fontId="3" fillId="32" borderId="1" xfId="0" applyNumberFormat="1" applyFont="1" applyFill="1" applyBorder="1" applyAlignment="1">
      <x:alignment horizontal="left" vertical="center"/>
    </x:xf>
    <x:xf numFmtId="0" fontId="3" fillId="32" borderId="1" xfId="0" applyNumberFormat="1" applyFont="1" applyFill="1" applyBorder="1" applyAlignment="1">
      <x:alignment horizontal="center" vertical="center"/>
    </x:xf>
    <x:xf numFmtId="0" fontId="13" fillId="33" borderId="4" xfId="0" applyNumberFormat="1" applyFont="1" applyFill="1" applyBorder="1" applyAlignment="1">
      <x:alignment horizontal="left" vertical="center"/>
    </x:xf>
    <x:xf numFmtId="0" fontId="13" fillId="33" borderId="4" xfId="0" applyNumberFormat="1" applyFont="1" applyFill="1" applyBorder="1" applyAlignment="1">
      <x:alignment horizontal="center" vertical="center"/>
    </x:xf>
    <x:xf numFmtId="0" fontId="12" fillId="33" borderId="4" xfId="0" applyNumberFormat="1" applyFont="1" applyFill="1" applyBorder="1" applyAlignment="1">
      <x:alignment horizontal="left" vertical="center"/>
    </x:xf>
    <x:xf numFmtId="0" fontId="12" fillId="33" borderId="4" xfId="0" applyNumberFormat="1" applyFont="1" applyFill="1" applyBorder="1" applyAlignment="1">
      <x:alignment horizontal="center" vertical="center"/>
    </x:xf>
    <x:xf numFmtId="0" fontId="12" fillId="33" borderId="1" xfId="0" applyNumberFormat="1" applyFont="1" applyFill="1" applyBorder="1" applyAlignment="1">
      <x:alignment horizontal="left" vertical="center"/>
    </x:xf>
    <x:xf numFmtId="0" fontId="12" fillId="33" borderId="1" xfId="0" applyNumberFormat="1" applyFont="1" applyFill="1" applyBorder="1" applyAlignment="1">
      <x:alignment horizontal="center" vertical="center"/>
    </x:xf>
    <x:xf numFmtId="0" fontId="13" fillId="34" borderId="4" xfId="0" applyNumberFormat="1" applyFont="1" applyFill="1" applyBorder="1" applyAlignment="1">
      <x:alignment horizontal="left" vertical="center"/>
    </x:xf>
    <x:xf numFmtId="0" fontId="13" fillId="34" borderId="4" xfId="0" applyNumberFormat="1" applyFont="1" applyFill="1" applyBorder="1" applyAlignment="1">
      <x:alignment horizontal="center" vertical="center"/>
    </x:xf>
    <x:xf numFmtId="0" fontId="3" fillId="34" borderId="4" xfId="0" applyNumberFormat="1" applyFont="1" applyFill="1" applyBorder="1" applyAlignment="1">
      <x:alignment horizontal="left" vertical="center"/>
    </x:xf>
    <x:xf numFmtId="0" fontId="3" fillId="34" borderId="4" xfId="0" applyNumberFormat="1" applyFont="1" applyFill="1" applyBorder="1" applyAlignment="1">
      <x:alignment horizontal="center" vertical="center"/>
    </x:xf>
    <x:xf numFmtId="0" fontId="3" fillId="34" borderId="1" xfId="0" applyNumberFormat="1" applyFont="1" applyFill="1" applyBorder="1" applyAlignment="1">
      <x:alignment horizontal="left" vertical="center"/>
    </x:xf>
    <x:xf numFmtId="0" fontId="3" fillId="34" borderId="1" xfId="0" applyNumberFormat="1" applyFont="1" applyFill="1" applyBorder="1" applyAlignment="1">
      <x:alignment horizontal="center" vertical="center"/>
    </x:xf>
    <x:xf numFmtId="0" fontId="13" fillId="25" borderId="5" xfId="0" applyNumberFormat="1" applyFont="1" applyFill="1" applyBorder="1"/>
    <x:xf numFmtId="0" fontId="13" fillId="35" borderId="4" xfId="0" applyNumberFormat="1" applyFont="1" applyFill="1" applyBorder="1" applyAlignment="1">
      <x:alignment horizontal="left" vertical="center"/>
    </x:xf>
    <x:xf numFmtId="0" fontId="13" fillId="35" borderId="4" xfId="0" applyNumberFormat="1" applyFont="1" applyFill="1" applyBorder="1" applyAlignment="1">
      <x:alignment horizontal="center" vertical="center"/>
    </x:xf>
    <x:xf numFmtId="0" fontId="3" fillId="35" borderId="4" xfId="0" applyNumberFormat="1" applyFont="1" applyFill="1" applyBorder="1" applyAlignment="1">
      <x:alignment horizontal="left" vertical="center"/>
    </x:xf>
    <x:xf numFmtId="0" fontId="3" fillId="35" borderId="4" xfId="0" applyNumberFormat="1" applyFont="1" applyFill="1" applyBorder="1" applyAlignment="1">
      <x:alignment horizontal="center" vertical="center"/>
    </x:xf>
    <x:xf numFmtId="0" fontId="3" fillId="35" borderId="1" xfId="0" applyNumberFormat="1" applyFont="1" applyFill="1" applyBorder="1" applyAlignment="1">
      <x:alignment horizontal="left" vertical="center"/>
    </x:xf>
    <x:xf numFmtId="0" fontId="3" fillId="35" borderId="1" xfId="0" applyNumberFormat="1" applyFont="1" applyFill="1" applyBorder="1" applyAlignment="1">
      <x:alignment horizontal="center" vertical="center"/>
    </x:xf>
    <x:xf numFmtId="215" fontId="12" fillId="0" borderId="4" xfId="0" applyNumberFormat="1" applyFont="1" applyFill="1" applyBorder="1" applyAlignment="1">
      <x:alignment horizontal="center" vertical="center"/>
    </x:xf>
    <x:xf numFmtId="215" fontId="12" fillId="36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77abc0d134394" /><Relationship Type="http://schemas.openxmlformats.org/officeDocument/2006/relationships/theme" Target="/xl/theme/theme1.xml" Id="R5e15a8656f134d8e" /><Relationship Type="http://schemas.openxmlformats.org/officeDocument/2006/relationships/sharedStrings" Target="/xl/sharedStrings.xml" Id="R2d8a930ad85e4762" /><Relationship Type="http://schemas.openxmlformats.org/officeDocument/2006/relationships/worksheet" Target="/xl/worksheets/sheet1.xml" Id="R4c46a15ba21f47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8.88671875" style="3" customWidth="1"/>
    <x:col min="2" max="2" width="42" style="3" customWidth="1"/>
    <x:col min="3" max="3" width="17" style="3" customWidth="1"/>
    <x:col min="4" max="5" width="11.21875" style="3" customWidth="1"/>
    <x:col min="6" max="6" width="10.6640625" style="3" customWidth="1"/>
    <x:col min="7" max="7" width="11.109375" style="3" customWidth="1"/>
    <x:col min="8" max="8" width="11.33203125" style="3" customWidth="1"/>
    <x:col min="9" max="9" width="13.88671875" style="3" customWidth="1"/>
    <x:col min="10" max="10" width="12.88671875" style="3" customWidth="1"/>
    <x:col min="11" max="11" width="12.77734375" style="3" customWidth="1"/>
    <x:col min="12" max="12" width="13" style="3" customWidth="1"/>
    <x:col min="13" max="13" width="12.77734375" style="3" customWidth="1"/>
    <x:col min="14" max="15" width="12.44140625" style="3" customWidth="1"/>
    <x:col min="16" max="16" width="11.77734375" style="3" customWidth="1"/>
    <x:col min="17" max="17" width="12.21875" style="3" customWidth="1"/>
    <x:col min="18" max="18" width="11" style="3" hidden="0" customWidth="1"/>
    <x:col min="19" max="16384" width="8.88671875" style="3" customWidth="0"/>
    <x:col min="19" max="19" width="11" hidden="0" customWidth="1"/>
  </x:cols>
  <x:sheetData>
    <x:row r="1" s="1" customFormat="1" ht="2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s="2" t="s">
        <x:v>17</x:v>
      </x:c>
      <x:c r="B2" s="2" t="s">
        <x:v>18</x:v>
      </x:c>
      <x:c r="C2" s="3" t="s">
        <x:v>19</x:v>
      </x:c>
      <x:c r="D2" s="12">
        <x:v>46055</x:v>
      </x:c>
      <x:c r="E2" s="34" t="s">
        <x:v>20</x:v>
      </x:c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 s="4" t="s">
        <x:v>21</x:v>
      </x:c>
      <x:c r="B3" s="5" t="s">
        <x:v>22</x:v>
      </x:c>
      <x:c r="C3" s="28" t="s">
        <x:v>23</x:v>
      </x:c>
      <x:c r="D3" s="12">
        <x:v>46055</x:v>
      </x:c>
      <x:c r="E3" s="12">
        <x:v>46236</x:v>
      </x:c>
      <x:c r="F3" s="39"/>
    </x:row>
    <x:row r="4">
      <x:c r="A4" s="6" t="s">
        <x:v>24</x:v>
      </x:c>
      <x:c r="B4" s="7" t="s">
        <x:v>25</x:v>
      </x:c>
      <x:c r="C4" s="3" t="s">
        <x:v>26</x:v>
      </x:c>
      <x:c r="D4" s="12">
        <x:v>46236</x:v>
      </x:c>
      <x:c r="E4" s="12">
        <x:v>46236</x:v>
      </x:c>
      <x:c r="F4" s="39"/>
    </x:row>
    <x:row r="5">
      <x:c r="A5" s="8" t="s">
        <x:v>27</x:v>
      </x:c>
      <x:c r="B5" s="9" t="s">
        <x:v>28</x:v>
      </x:c>
      <x:c r="C5" s="3" t="s">
        <x:v>26</x:v>
      </x:c>
      <x:c r="D5" s="12">
        <x:v>46267</x:v>
      </x:c>
      <x:c r="E5" s="12">
        <x:v>46267</x:v>
      </x:c>
      <x:c r="G5" s="39"/>
    </x:row>
    <x:row r="6">
      <x:c r="A6" s="8" t="s">
        <x:v>29</x:v>
      </x:c>
      <x:c r="B6" s="9" t="s">
        <x:v>30</x:v>
      </x:c>
      <x:c r="C6" s="3" t="s">
        <x:v>26</x:v>
      </x:c>
      <x:c r="D6" s="12">
        <x:v>46297</x:v>
      </x:c>
      <x:c r="E6" s="12">
        <x:v>46297</x:v>
      </x:c>
      <x:c r="G6" s="39"/>
    </x:row>
    <x:row r="7">
      <x:c r="A7" s="6" t="s">
        <x:v>31</x:v>
      </x:c>
      <x:c r="B7" s="7" t="s">
        <x:v>32</x:v>
      </x:c>
      <x:c r="C7" s="3" t="s">
        <x:v>26</x:v>
      </x:c>
      <x:c r="D7" s="12">
        <x:v>46328</x:v>
      </x:c>
      <x:c r="E7" s="12">
        <x:v>46328</x:v>
      </x:c>
      <x:c r="G7" s="39"/>
    </x:row>
    <x:row r="8">
      <x:c r="A8" s="6" t="s">
        <x:v>33</x:v>
      </x:c>
      <x:c r="B8" s="7" t="s">
        <x:v>34</x:v>
      </x:c>
      <x:c r="C8" s="3" t="s">
        <x:v>26</x:v>
      </x:c>
      <x:c r="D8" s="12">
        <x:v>46358</x:v>
      </x:c>
      <x:c r="E8" s="12">
        <x:v>46358</x:v>
      </x:c>
      <x:c r="G8" s="39"/>
    </x:row>
    <x:row r="9">
      <x:c r="A9" s="6" t="s">
        <x:v>35</x:v>
      </x:c>
      <x:c r="B9" s="7" t="s">
        <x:v>36</x:v>
      </x:c>
      <x:c r="C9" s="3" t="s">
        <x:v>26</x:v>
      </x:c>
      <x:c r="D9" s="34" t="s">
        <x:v>37</x:v>
      </x:c>
      <x:c r="E9" s="34" t="s">
        <x:v>37</x:v>
      </x:c>
      <x:c r="G9" s="39"/>
    </x:row>
    <x:row r="10">
      <x:c r="A10" s="6" t="s">
        <x:v>38</x:v>
      </x:c>
      <x:c r="B10" s="7" t="s">
        <x:v>39</x:v>
      </x:c>
      <x:c r="C10" s="3" t="s">
        <x:v>26</x:v>
      </x:c>
      <x:c r="D10" s="34" t="s">
        <x:v>40</x:v>
      </x:c>
      <x:c r="E10" s="34" t="s">
        <x:v>40</x:v>
      </x:c>
      <x:c r="G10" s="39"/>
    </x:row>
    <x:row r="11">
      <x:c r="A11" s="4" t="s">
        <x:v>41</x:v>
      </x:c>
      <x:c r="B11" s="5" t="s">
        <x:v>42</x:v>
      </x:c>
      <x:c r="C11" s="27" t="s">
        <x:v>43</x:v>
      </x:c>
      <x:c r="D11" s="34" t="s">
        <x:v>44</x:v>
      </x:c>
      <x:c r="E11" s="34">
        <x:v>46268</x:v>
      </x:c>
      <x:c r="G11" s="39"/>
      <x:c r="H11" s="39"/>
      <x:c r="I11" s="39"/>
      <x:c r="J11" s="39"/>
      <x:c r="K11" s="39"/>
    </x:row>
    <x:row r="12">
      <x:c r="A12" s="6" t="s">
        <x:v>45</x:v>
      </x:c>
      <x:c r="B12" s="7" t="s">
        <x:v>46</x:v>
      </x:c>
      <x:c r="C12" s="3" t="s">
        <x:v>23</x:v>
      </x:c>
      <x:c r="D12" s="34" t="s">
        <x:v>44</x:v>
      </x:c>
      <x:c r="E12" s="34" t="s">
        <x:v>47</x:v>
      </x:c>
      <x:c r="G12" s="39"/>
      <x:c r="H12" s="39"/>
    </x:row>
    <x:row r="13">
      <x:c r="A13" s="8" t="s">
        <x:v>48</x:v>
      </x:c>
      <x:c r="B13" s="9" t="s">
        <x:v>49</x:v>
      </x:c>
      <x:c r="C13" s="3" t="s">
        <x:v>26</x:v>
      </x:c>
      <x:c r="D13" s="34" t="s">
        <x:v>50</x:v>
      </x:c>
      <x:c r="E13" s="34" t="s">
        <x:v>50</x:v>
      </x:c>
      <x:c r="H13" s="39"/>
    </x:row>
    <x:row r="14">
      <x:c r="A14" s="8" t="s">
        <x:v>51</x:v>
      </x:c>
      <x:c r="B14" s="9" t="s">
        <x:v>52</x:v>
      </x:c>
      <x:c r="C14" s="3" t="s">
        <x:v>26</x:v>
      </x:c>
      <x:c r="D14" s="34" t="s">
        <x:v>53</x:v>
      </x:c>
      <x:c r="E14" s="34" t="s">
        <x:v>53</x:v>
      </x:c>
      <x:c r="H14" s="39"/>
    </x:row>
    <x:row r="15">
      <x:c r="A15" s="8" t="s">
        <x:v>54</x:v>
      </x:c>
      <x:c r="B15" s="9" t="s">
        <x:v>55</x:v>
      </x:c>
      <x:c r="C15" s="3" t="s">
        <x:v>26</x:v>
      </x:c>
      <x:c r="D15" s="34" t="s">
        <x:v>56</x:v>
      </x:c>
      <x:c r="E15" s="34" t="s">
        <x:v>56</x:v>
      </x:c>
      <x:c r="H15" s="39"/>
    </x:row>
    <x:row r="16">
      <x:c r="A16" s="8" t="s">
        <x:v>57</x:v>
      </x:c>
      <x:c r="B16" s="9" t="s">
        <x:v>58</x:v>
      </x:c>
      <x:c r="C16" s="3" t="s">
        <x:v>26</x:v>
      </x:c>
      <x:c r="D16" s="34" t="s">
        <x:v>59</x:v>
      </x:c>
      <x:c r="E16" s="34" t="s">
        <x:v>59</x:v>
      </x:c>
      <x:c r="H16" s="39"/>
    </x:row>
    <x:row r="17">
      <x:c r="A17" s="8" t="s">
        <x:v>60</x:v>
      </x:c>
      <x:c r="B17" s="9" t="s">
        <x:v>61</x:v>
      </x:c>
      <x:c r="C17" s="3" t="s">
        <x:v>62</x:v>
      </x:c>
      <x:c r="D17" s="34" t="s">
        <x:v>63</x:v>
      </x:c>
      <x:c r="E17" s="34" t="s">
        <x:v>47</x:v>
      </x:c>
      <x:c r="H17" s="39"/>
    </x:row>
    <x:row r="18">
      <x:c r="A18" s="6" t="s">
        <x:v>64</x:v>
      </x:c>
      <x:c r="B18" s="7" t="s">
        <x:v>65</x:v>
      </x:c>
      <x:c r="C18" s="29" t="s">
        <x:v>62</x:v>
      </x:c>
      <x:c r="D18" s="34" t="s">
        <x:v>66</x:v>
      </x:c>
      <x:c r="E18" s="34" t="s">
        <x:v>67</x:v>
      </x:c>
      <x:c r="I18" s="39"/>
    </x:row>
    <x:row r="19">
      <x:c r="A19" s="8" t="s">
        <x:v>68</x:v>
      </x:c>
      <x:c r="B19" s="9" t="s">
        <x:v>69</x:v>
      </x:c>
      <x:c r="C19" s="3" t="s">
        <x:v>26</x:v>
      </x:c>
      <x:c r="D19" s="34" t="s">
        <x:v>70</x:v>
      </x:c>
      <x:c r="E19" s="34" t="s">
        <x:v>70</x:v>
      </x:c>
      <x:c r="I19" s="39"/>
    </x:row>
    <x:row r="20">
      <x:c r="A20" s="8" t="s">
        <x:v>71</x:v>
      </x:c>
      <x:c r="B20" s="9" t="s">
        <x:v>72</x:v>
      </x:c>
      <x:c r="C20" s="3" t="s">
        <x:v>26</x:v>
      </x:c>
      <x:c r="D20" s="34" t="s">
        <x:v>73</x:v>
      </x:c>
      <x:c r="E20" s="34" t="s">
        <x:v>73</x:v>
      </x:c>
      <x:c r="I20" s="39"/>
    </x:row>
    <x:row r="21">
      <x:c r="A21" s="8" t="s">
        <x:v>74</x:v>
      </x:c>
      <x:c r="B21" s="9" t="s">
        <x:v>75</x:v>
      </x:c>
      <x:c r="C21" s="3" t="s">
        <x:v>26</x:v>
      </x:c>
      <x:c r="D21" s="34" t="s">
        <x:v>76</x:v>
      </x:c>
      <x:c r="E21" s="34">
        <x:v>46025</x:v>
      </x:c>
      <x:c r="I21" s="39"/>
    </x:row>
    <x:row r="22">
      <x:c r="A22" s="6" t="s">
        <x:v>77</x:v>
      </x:c>
      <x:c r="B22" s="7" t="s">
        <x:v>78</x:v>
      </x:c>
      <x:c r="C22" s="29" t="s">
        <x:v>79</x:v>
      </x:c>
      <x:c r="D22" s="34">
        <x:v>46056</x:v>
      </x:c>
      <x:c r="E22" s="34">
        <x:v>46145</x:v>
      </x:c>
      <x:c r="J22" s="39"/>
    </x:row>
    <x:row r="23">
      <x:c r="A23" s="8" t="s">
        <x:v>80</x:v>
      </x:c>
      <x:c r="B23" s="9" t="s">
        <x:v>81</x:v>
      </x:c>
      <x:c r="C23" s="3" t="s">
        <x:v>82</x:v>
      </x:c>
      <x:c r="D23" s="34">
        <x:v>46176</x:v>
      </x:c>
      <x:c r="E23" s="34">
        <x:v>46206</x:v>
      </x:c>
      <x:c r="J23" s="39"/>
    </x:row>
    <x:row r="24">
      <x:c r="A24" s="8" t="s">
        <x:v>83</x:v>
      </x:c>
      <x:c r="B24" s="9" t="s">
        <x:v>84</x:v>
      </x:c>
      <x:c r="C24" s="3" t="s">
        <x:v>82</x:v>
      </x:c>
      <x:c r="D24" s="34">
        <x:v>46237</x:v>
      </x:c>
      <x:c r="E24" s="34">
        <x:v>46268</x:v>
      </x:c>
      <x:c r="J24" s="39"/>
      <x:c r="K24" s="39"/>
    </x:row>
    <x:row r="25">
      <x:c r="A25" s="4" t="s">
        <x:v>85</x:v>
      </x:c>
      <x:c r="B25" s="5" t="s">
        <x:v>86</x:v>
      </x:c>
      <x:c r="C25" s="28" t="s">
        <x:v>23</x:v>
      </x:c>
      <x:c r="D25" s="34">
        <x:v>46298</x:v>
      </x:c>
      <x:c r="E25" s="34" t="s">
        <x:v>87</x:v>
      </x:c>
      <x:c r="K25" s="39"/>
      <x:c r="L25" s="39"/>
    </x:row>
    <x:row r="26">
      <x:c r="A26" s="6" t="s">
        <x:v>88</x:v>
      </x:c>
      <x:c r="B26" s="7" t="s">
        <x:v>89</x:v>
      </x:c>
      <x:c r="C26" s="3" t="s">
        <x:v>82</x:v>
      </x:c>
      <x:c r="D26" s="34">
        <x:v>46298</x:v>
      </x:c>
      <x:c r="E26" s="34">
        <x:v>46329</x:v>
      </x:c>
      <x:c r="K26" s="39"/>
    </x:row>
    <x:row r="27">
      <x:c r="A27" s="6" t="s">
        <x:v>90</x:v>
      </x:c>
      <x:c r="B27" s="7" t="s">
        <x:v>91</x:v>
      </x:c>
      <x:c r="C27" s="3" t="s">
        <x:v>82</x:v>
      </x:c>
      <x:c r="D27" s="34">
        <x:v>46359</x:v>
      </x:c>
      <x:c r="E27" s="34" t="s">
        <x:v>92</x:v>
      </x:c>
      <x:c r="K27" s="39"/>
    </x:row>
    <x:row r="28">
      <x:c r="A28" s="8" t="s">
        <x:v>93</x:v>
      </x:c>
      <x:c r="B28" s="9" t="s">
        <x:v>94</x:v>
      </x:c>
      <x:c r="C28" s="3" t="s">
        <x:v>82</x:v>
      </x:c>
      <x:c r="D28" s="34" t="s">
        <x:v>95</x:v>
      </x:c>
      <x:c r="E28" s="34" t="s">
        <x:v>96</x:v>
      </x:c>
      <x:c r="K28" s="39"/>
    </x:row>
    <x:row r="29">
      <x:c r="A29" s="8" t="s">
        <x:v>97</x:v>
      </x:c>
      <x:c r="B29" s="9" t="s">
        <x:v>98</x:v>
      </x:c>
      <x:c r="C29" s="3" t="s">
        <x:v>26</x:v>
      </x:c>
      <x:c r="D29" s="34" t="s">
        <x:v>87</x:v>
      </x:c>
      <x:c r="E29" s="34" t="s">
        <x:v>87</x:v>
      </x:c>
      <x:c r="L29" s="39"/>
    </x:row>
    <x:row r="30">
      <x:c r="A30" s="4" t="s">
        <x:v>99</x:v>
      </x:c>
      <x:c r="B30" s="5" t="s">
        <x:v>100</x:v>
      </x:c>
      <x:c r="C30" s="28" t="s">
        <x:v>101</x:v>
      </x:c>
      <x:c r="D30" s="34" t="s">
        <x:v>102</x:v>
      </x:c>
      <x:c r="E30" s="34" t="s">
        <x:v>20</x:v>
      </x:c>
      <x:c r="L30" s="39"/>
      <x:c r="M30" s="39"/>
      <x:c r="N30" s="39"/>
    </x:row>
    <x:row r="31">
      <x:c r="A31" s="6" t="s">
        <x:v>103</x:v>
      </x:c>
      <x:c r="B31" s="7" t="s">
        <x:v>104</x:v>
      </x:c>
      <x:c r="C31" s="3" t="s">
        <x:v>82</x:v>
      </x:c>
      <x:c r="D31" s="34" t="s">
        <x:v>102</x:v>
      </x:c>
      <x:c r="E31" s="34" t="s">
        <x:v>105</x:v>
      </x:c>
      <x:c r="L31" s="39"/>
    </x:row>
    <x:row r="32">
      <x:c r="A32" s="8" t="s">
        <x:v>106</x:v>
      </x:c>
      <x:c r="B32" s="9" t="s">
        <x:v>107</x:v>
      </x:c>
      <x:c r="C32" s="3" t="s">
        <x:v>26</x:v>
      </x:c>
      <x:c r="D32" s="34" t="s">
        <x:v>108</x:v>
      </x:c>
      <x:c r="E32" s="34" t="s">
        <x:v>108</x:v>
      </x:c>
      <x:c r="L32" s="39"/>
    </x:row>
    <x:row r="33">
      <x:c r="A33" s="8" t="s">
        <x:v>109</x:v>
      </x:c>
      <x:c r="B33" s="9" t="s">
        <x:v>110</x:v>
      </x:c>
      <x:c r="C33" s="3" t="s">
        <x:v>26</x:v>
      </x:c>
      <x:c r="D33" s="34" t="s">
        <x:v>111</x:v>
      </x:c>
      <x:c r="E33" s="34" t="s">
        <x:v>111</x:v>
      </x:c>
      <x:c r="L33" s="39"/>
    </x:row>
    <x:row r="34">
      <x:c r="A34" s="6" t="s">
        <x:v>112</x:v>
      </x:c>
      <x:c r="B34" s="7" t="s">
        <x:v>113</x:v>
      </x:c>
      <x:c r="C34" s="29" t="s">
        <x:v>114</x:v>
      </x:c>
      <x:c r="D34" s="34" t="s">
        <x:v>115</x:v>
      </x:c>
      <x:c r="E34" s="34" t="s">
        <x:v>116</x:v>
      </x:c>
      <x:c r="L34" s="39"/>
      <x:c r="M34" s="39"/>
    </x:row>
    <x:row r="35">
      <x:c r="A35" s="8" t="s">
        <x:v>117</x:v>
      </x:c>
      <x:c r="B35" s="9" t="s">
        <x:v>118</x:v>
      </x:c>
      <x:c r="C35" s="30" t="s">
        <x:v>82</x:v>
      </x:c>
      <x:c r="D35" s="34" t="s">
        <x:v>119</x:v>
      </x:c>
      <x:c r="E35" s="34" t="s">
        <x:v>120</x:v>
      </x:c>
      <x:c r="M35" s="39"/>
    </x:row>
    <x:row r="36">
      <x:c r="A36" s="8" t="s">
        <x:v>121</x:v>
      </x:c>
      <x:c r="B36" s="9" t="s">
        <x:v>122</x:v>
      </x:c>
      <x:c r="C36" s="30" t="s">
        <x:v>62</x:v>
      </x:c>
      <x:c r="D36" s="34" t="s">
        <x:v>123</x:v>
      </x:c>
      <x:c r="E36" s="34" t="s">
        <x:v>20</x:v>
      </x:c>
      <x:c r="M36" s="39"/>
      <x:c r="N36" s="39"/>
    </x:row>
    <x:row r="37">
      <x:c r="A37" s="10" t="s">
        <x:v>124</x:v>
      </x:c>
      <x:c r="B37" s="10" t="s">
        <x:v>125</x:v>
      </x:c>
      <x:c r="C37" s="31" t="s">
        <x:v>126</x:v>
      </x:c>
      <x:c r="D37" s="34" t="s">
        <x:v>127</x:v>
      </x:c>
      <x:c r="E37" s="34" t="s">
        <x:v>128</x:v>
      </x:c>
      <x:c r="N37" s="40"/>
      <x:c r="O37" s="40"/>
      <x:c r="P37" s="40"/>
      <x:c r="Q37" s="40"/>
    </x:row>
    <x:row r="38">
      <x:c r="A38" s="11" t="s">
        <x:v>129</x:v>
      </x:c>
      <x:c r="B38" s="15" t="s">
        <x:v>130</x:v>
      </x:c>
      <x:c r="C38" s="32" t="s">
        <x:v>23</x:v>
      </x:c>
      <x:c r="D38" s="34" t="s">
        <x:v>127</x:v>
      </x:c>
      <x:c r="E38" s="34">
        <x:v>46207</x:v>
      </x:c>
      <x:c r="N38" s="40"/>
      <x:c r="O38" s="40"/>
    </x:row>
    <x:row r="39">
      <x:c r="A39" s="13" t="s">
        <x:v>131</x:v>
      </x:c>
      <x:c r="B39" s="16" t="s">
        <x:v>132</x:v>
      </x:c>
      <x:c r="C39" s="3" t="s">
        <x:v>82</x:v>
      </x:c>
      <x:c r="D39" s="34">
        <x:v>46026</x:v>
      </x:c>
      <x:c r="E39" s="34">
        <x:v>46057</x:v>
      </x:c>
      <x:c r="N39" s="40"/>
    </x:row>
    <x:row r="40">
      <x:c r="A40" s="13" t="s">
        <x:v>133</x:v>
      </x:c>
      <x:c r="B40" s="16" t="s">
        <x:v>134</x:v>
      </x:c>
      <x:c r="C40" s="3" t="s">
        <x:v>82</x:v>
      </x:c>
      <x:c r="D40" s="34">
        <x:v>46085</x:v>
      </x:c>
      <x:c r="E40" s="34">
        <x:v>46116</x:v>
      </x:c>
      <x:c r="N40" s="40"/>
    </x:row>
    <x:row r="41">
      <x:c r="A41" s="13" t="s">
        <x:v>135</x:v>
      </x:c>
      <x:c r="B41" s="16" t="s">
        <x:v>136</x:v>
      </x:c>
      <x:c r="C41" s="3" t="s">
        <x:v>82</x:v>
      </x:c>
      <x:c r="D41" s="34">
        <x:v>46146</x:v>
      </x:c>
      <x:c r="E41" s="34">
        <x:v>46177</x:v>
      </x:c>
      <x:c r="N41" s="40"/>
      <x:c r="O41" s="40"/>
    </x:row>
    <x:row r="42">
      <x:c r="A42" s="13" t="s">
        <x:v>137</x:v>
      </x:c>
      <x:c r="B42" s="16" t="s">
        <x:v>138</x:v>
      </x:c>
      <x:c r="C42" s="3" t="s">
        <x:v>26</x:v>
      </x:c>
      <x:c r="D42" s="34">
        <x:v>46207</x:v>
      </x:c>
      <x:c r="E42" s="34">
        <x:v>46207</x:v>
      </x:c>
      <x:c r="O42" s="40"/>
    </x:row>
    <x:row r="43">
      <x:c r="A43" s="11" t="s">
        <x:v>139</x:v>
      </x:c>
      <x:c r="B43" s="15" t="s">
        <x:v>140</x:v>
      </x:c>
      <x:c r="C43" s="33" t="s">
        <x:v>43</x:v>
      </x:c>
      <x:c r="D43" s="34">
        <x:v>46238</x:v>
      </x:c>
      <x:c r="E43" s="34" t="s">
        <x:v>128</x:v>
      </x:c>
      <x:c r="O43" s="40"/>
      <x:c r="P43" s="40"/>
      <x:c r="Q43" s="40"/>
    </x:row>
    <x:row r="44">
      <x:c r="A44" s="13" t="s">
        <x:v>141</x:v>
      </x:c>
      <x:c r="B44" s="16" t="s">
        <x:v>142</x:v>
      </x:c>
      <x:c r="C44" s="30" t="s">
        <x:v>23</x:v>
      </x:c>
      <x:c r="D44" s="34">
        <x:v>46238</x:v>
      </x:c>
      <x:c r="E44" s="34" t="s">
        <x:v>143</x:v>
      </x:c>
      <x:c r="O44" s="40"/>
      <x:c r="P44" s="40"/>
    </x:row>
    <x:row r="45">
      <x:c r="A45" s="14" t="s">
        <x:v>144</x:v>
      </x:c>
      <x:c r="B45" s="17" t="s">
        <x:v>145</x:v>
      </x:c>
      <x:c r="C45" s="3" t="s">
        <x:v>26</x:v>
      </x:c>
      <x:c r="D45" s="34">
        <x:v>46238</x:v>
      </x:c>
      <x:c r="E45" s="34">
        <x:v>46238</x:v>
      </x:c>
      <x:c r="O45" s="40"/>
    </x:row>
    <x:row r="46">
      <x:c r="A46" s="14" t="s">
        <x:v>146</x:v>
      </x:c>
      <x:c r="B46" s="17" t="s">
        <x:v>147</x:v>
      </x:c>
      <x:c r="C46" s="3" t="s">
        <x:v>26</x:v>
      </x:c>
      <x:c r="D46" s="34">
        <x:v>46269</x:v>
      </x:c>
      <x:c r="E46" s="34">
        <x:v>46269</x:v>
      </x:c>
      <x:c r="O46" s="40"/>
    </x:row>
    <x:row r="47">
      <x:c r="A47" s="14" t="s">
        <x:v>148</x:v>
      </x:c>
      <x:c r="B47" s="17" t="s">
        <x:v>149</x:v>
      </x:c>
      <x:c r="C47" s="3" t="s">
        <x:v>26</x:v>
      </x:c>
      <x:c r="D47" s="34">
        <x:v>46299</x:v>
      </x:c>
      <x:c r="E47" s="34">
        <x:v>46299</x:v>
      </x:c>
      <x:c r="O47" s="40"/>
    </x:row>
    <x:row r="48">
      <x:c r="A48" s="14" t="s">
        <x:v>150</x:v>
      </x:c>
      <x:c r="B48" s="17" t="s">
        <x:v>151</x:v>
      </x:c>
      <x:c r="C48" s="3" t="s">
        <x:v>26</x:v>
      </x:c>
      <x:c r="D48" s="34">
        <x:v>46330</x:v>
      </x:c>
      <x:c r="E48" s="34">
        <x:v>46330</x:v>
      </x:c>
      <x:c r="O48" s="40"/>
    </x:row>
    <x:row r="49">
      <x:c r="A49" s="14" t="s">
        <x:v>152</x:v>
      </x:c>
      <x:c r="B49" s="17" t="s">
        <x:v>153</x:v>
      </x:c>
      <x:c r="C49" s="3" t="s">
        <x:v>26</x:v>
      </x:c>
      <x:c r="D49" s="34">
        <x:v>46360</x:v>
      </x:c>
      <x:c r="E49" s="34">
        <x:v>46360</x:v>
      </x:c>
      <x:c r="O49" s="40"/>
    </x:row>
    <x:row r="50">
      <x:c r="A50" s="14" t="s">
        <x:v>154</x:v>
      </x:c>
      <x:c r="B50" s="17" t="s">
        <x:v>155</x:v>
      </x:c>
      <x:c r="C50" s="30" t="s">
        <x:v>82</x:v>
      </x:c>
      <x:c r="D50" s="34" t="s">
        <x:v>156</x:v>
      </x:c>
      <x:c r="E50" s="34" t="s">
        <x:v>143</x:v>
      </x:c>
      <x:c r="P50" s="40"/>
    </x:row>
    <x:row r="51">
      <x:c r="A51" s="13" t="s">
        <x:v>157</x:v>
      </x:c>
      <x:c r="B51" s="16" t="s">
        <x:v>158</x:v>
      </x:c>
      <x:c r="C51" s="30" t="s">
        <x:v>62</x:v>
      </x:c>
      <x:c r="D51" s="34" t="s">
        <x:v>159</x:v>
      </x:c>
      <x:c r="E51" s="34" t="s">
        <x:v>160</x:v>
      </x:c>
      <x:c r="P51" s="40"/>
    </x:row>
    <x:row r="52">
      <x:c r="A52" s="13" t="s">
        <x:v>161</x:v>
      </x:c>
      <x:c r="B52" s="16" t="s">
        <x:v>136</x:v>
      </x:c>
      <x:c r="C52" s="30" t="s">
        <x:v>82</x:v>
      </x:c>
      <x:c r="D52" s="34" t="s">
        <x:v>162</x:v>
      </x:c>
      <x:c r="E52" s="34" t="s">
        <x:v>163</x:v>
      </x:c>
      <x:c r="P52" s="40"/>
    </x:row>
    <x:row r="53">
      <x:c r="A53" s="13" t="s">
        <x:v>164</x:v>
      </x:c>
      <x:c r="B53" s="16" t="s">
        <x:v>138</x:v>
      </x:c>
      <x:c r="C53" s="30" t="s">
        <x:v>82</x:v>
      </x:c>
      <x:c r="D53" s="34" t="s">
        <x:v>165</x:v>
      </x:c>
      <x:c r="E53" s="34" t="s">
        <x:v>128</x:v>
      </x:c>
      <x:c r="Q53" s="40"/>
    </x:row>
    <x:row r="56" ht="22" customHeight="1">
      <x:c r="D56" s="133" t="str">
        <x:v>Start date</x:v>
      </x:c>
      <x:c r="E56" s="133" t="str">
        <x:v>End date</x:v>
      </x:c>
      <x:c r="F56" s="119" t="n">
        <x:v>46188</x:v>
      </x:c>
      <x:c r="G56" s="120" t="n">
        <x:v>46195</x:v>
      </x:c>
      <x:c r="H56" s="121" t="n">
        <x:v>46202</x:v>
      </x:c>
      <x:c r="I56" s="122" t="n">
        <x:v>46209</x:v>
      </x:c>
      <x:c r="J56" s="123" t="n">
        <x:v>46216</x:v>
      </x:c>
      <x:c r="K56" s="124" t="n">
        <x:v>46223</x:v>
      </x:c>
      <x:c r="L56" s="125" t="n">
        <x:v>46230</x:v>
      </x:c>
      <x:c r="M56" s="126" t="n">
        <x:v>46237</x:v>
      </x:c>
      <x:c r="N56" s="127" t="n">
        <x:v>46244</x:v>
      </x:c>
      <x:c r="O56" s="128" t="n">
        <x:v>46251</x:v>
      </x:c>
      <x:c r="P56" s="129" t="n">
        <x:v>46258</x:v>
      </x:c>
      <x:c r="Q56" s="130" t="n">
        <x:v>46265</x:v>
      </x:c>
      <x:c r="R56" s="131" t="n">
        <x:v>46272</x:v>
      </x:c>
      <x:c r="S56" s="132" t="n">
        <x:v>46279</x:v>
      </x:c>
    </x:row>
    <x:row r="57" ht="19" customHeight="1">
      <x:c r="A57" s="154" t="str">
        <x:v>3.0</x:v>
      </x:c>
      <x:c r="B57" s="154" t="str">
        <x:v>Development phase</x:v>
      </x:c>
      <x:c r="C57" s="155" t="str">
        <x:f>E57-D57+1&amp;IF(E57-D57+1=1," day"," days")</x:f>
        <x:v>56 days</x:v>
      </x:c>
      <x:c r="D57" s="144" t="n">
        <x:v>46188</x:v>
      </x:c>
      <x:c r="E57" s="144" t="n">
        <x:v>46243</x:v>
      </x:c>
      <x:c r="F57" s="156"/>
      <x:c r="G57" s="156"/>
      <x:c r="H57" s="156"/>
      <x:c r="I57" s="156"/>
      <x:c r="J57" s="156"/>
      <x:c r="K57" s="156"/>
      <x:c r="L57" s="156"/>
      <x:c r="M57" s="156"/>
      <x:c r="N57" s="149"/>
      <x:c r="O57" s="149"/>
      <x:c r="P57" s="149"/>
      <x:c r="Q57" s="149"/>
      <x:c r="R57" s="149"/>
      <x:c r="S57" s="149"/>
    </x:row>
    <x:row r="58" ht="19" customHeight="1">
      <x:c r="A58" s="161" t="str">
        <x:v>3.1</x:v>
      </x:c>
      <x:c r="B58" s="161" t="str">
        <x:v>  Develop Prototype into Final Product</x:v>
      </x:c>
      <x:c r="C58" s="162" t="str">
        <x:f>E58-D58+1&amp;IF(E58-D58+1=1," day"," days")</x:f>
        <x:v>56 days</x:v>
      </x:c>
      <x:c r="D58" s="147" t="n">
        <x:v>46188</x:v>
      </x:c>
      <x:c r="E58" s="147" t="n">
        <x:v>46243</x:v>
      </x:c>
      <x:c r="F58" s="156"/>
      <x:c r="G58" s="156"/>
      <x:c r="H58" s="156"/>
      <x:c r="I58" s="156"/>
      <x:c r="J58" s="156"/>
      <x:c r="K58" s="156"/>
      <x:c r="L58" s="156"/>
      <x:c r="M58" s="156"/>
      <x:c r="N58" s="149"/>
      <x:c r="O58" s="149"/>
      <x:c r="P58" s="149"/>
      <x:c r="Q58" s="149"/>
      <x:c r="R58" s="149"/>
      <x:c r="S58" s="149"/>
    </x:row>
    <x:row r="59" ht="19" customHeight="1">
      <x:c r="A59" s="167" t="str">
        <x:v>3.1.1</x:v>
      </x:c>
      <x:c r="B59" s="167" t="str">
        <x:v>    Configure Development Environment</x:v>
      </x:c>
      <x:c r="C59" s="168" t="str">
        <x:f>E59-D59+1&amp;IF(E59-D59+1=1," day"," days")</x:f>
        <x:v>3 days</x:v>
      </x:c>
      <x:c r="D59" s="147" t="n">
        <x:v>46188</x:v>
      </x:c>
      <x:c r="E59" s="147" t="n">
        <x:v>46190</x:v>
      </x:c>
      <x:c r="F59" s="156"/>
      <x:c r="G59" s="149"/>
      <x:c r="H59" s="149"/>
      <x:c r="I59" s="149"/>
      <x:c r="J59" s="149"/>
      <x:c r="K59" s="149"/>
      <x:c r="L59" s="149"/>
      <x:c r="M59" s="149"/>
      <x:c r="N59" s="149"/>
      <x:c r="O59" s="149"/>
      <x:c r="P59" s="149"/>
      <x:c r="Q59" s="149"/>
      <x:c r="R59" s="149"/>
      <x:c r="S59" s="149"/>
    </x:row>
    <x:row r="60" ht="19" customHeight="1">
      <x:c r="A60" s="173" t="str">
        <x:v>3.1.1.1</x:v>
      </x:c>
      <x:c r="B60" s="173" t="str">
        <x:v>      User Authentication</x:v>
      </x:c>
      <x:c r="C60" s="174" t="str">
        <x:f>E60-D60+1&amp;IF(E60-D60+1=1," day"," days")</x:f>
        <x:v>1 day</x:v>
      </x:c>
      <x:c r="D60" s="147" t="n">
        <x:v>46188</x:v>
      </x:c>
      <x:c r="E60" s="147" t="n">
        <x:v>46188</x:v>
      </x:c>
      <x:c r="F60" s="156"/>
      <x:c r="G60" s="149"/>
      <x:c r="H60" s="149"/>
      <x:c r="I60" s="149"/>
      <x:c r="J60" s="149"/>
      <x:c r="K60" s="149"/>
      <x:c r="L60" s="149"/>
      <x:c r="M60" s="149"/>
      <x:c r="N60" s="149"/>
      <x:c r="O60" s="149"/>
      <x:c r="P60" s="149"/>
      <x:c r="Q60" s="149"/>
      <x:c r="R60" s="149"/>
      <x:c r="S60" s="149"/>
    </x:row>
    <x:row r="61" ht="19" customHeight="1">
      <x:c r="A61" s="173" t="str">
        <x:v>3.1.1.2</x:v>
      </x:c>
      <x:c r="B61" s="173" t="str">
        <x:v>      Connect the application to Firebase</x:v>
      </x:c>
      <x:c r="C61" s="174" t="str">
        <x:f>E61-D61+1&amp;IF(E61-D61+1=1," day"," days")</x:f>
        <x:v>1 day</x:v>
      </x:c>
      <x:c r="D61" s="147" t="n">
        <x:v>46188</x:v>
      </x:c>
      <x:c r="E61" s="147" t="n">
        <x:v>46188</x:v>
      </x:c>
      <x:c r="F61" s="156"/>
      <x:c r="G61" s="149"/>
      <x:c r="H61" s="149"/>
      <x:c r="I61" s="149"/>
      <x:c r="J61" s="149"/>
      <x:c r="K61" s="149"/>
      <x:c r="L61" s="149"/>
      <x:c r="M61" s="149"/>
      <x:c r="N61" s="149"/>
      <x:c r="O61" s="149"/>
      <x:c r="P61" s="149"/>
      <x:c r="Q61" s="149"/>
      <x:c r="R61" s="149"/>
      <x:c r="S61" s="149"/>
    </x:row>
    <x:row r="62" ht="19" customHeight="1">
      <x:c r="A62" s="173" t="str">
        <x:v>3.1.1.3</x:v>
      </x:c>
      <x:c r="B62" s="173" t="str">
        <x:v>      Configure Firebase Authentication</x:v>
      </x:c>
      <x:c r="C62" s="174" t="str">
        <x:f>E62-D62+1&amp;IF(E62-D62+1=1," day"," days")</x:f>
        <x:v>1 day</x:v>
      </x:c>
      <x:c r="D62" s="147" t="n">
        <x:v>46189</x:v>
      </x:c>
      <x:c r="E62" s="147" t="n">
        <x:v>46189</x:v>
      </x:c>
      <x:c r="F62" s="156"/>
      <x:c r="G62" s="149"/>
      <x:c r="H62" s="149"/>
      <x:c r="I62" s="149"/>
      <x:c r="J62" s="149"/>
      <x:c r="K62" s="149"/>
      <x:c r="L62" s="149"/>
      <x:c r="M62" s="149"/>
      <x:c r="N62" s="149"/>
      <x:c r="O62" s="149"/>
      <x:c r="P62" s="149"/>
      <x:c r="Q62" s="149"/>
      <x:c r="R62" s="149"/>
      <x:c r="S62" s="149"/>
    </x:row>
    <x:row r="63" ht="19" customHeight="1">
      <x:c r="A63" s="173" t="str">
        <x:v>3.1.1.4</x:v>
      </x:c>
      <x:c r="B63" s="173" t="str">
        <x:v>      Configure Cloud Firestore database</x:v>
      </x:c>
      <x:c r="C63" s="174" t="str">
        <x:f>E63-D63+1&amp;IF(E63-D63+1=1," day"," days")</x:f>
        <x:v>1 day</x:v>
      </x:c>
      <x:c r="D63" s="147" t="n">
        <x:v>46190</x:v>
      </x:c>
      <x:c r="E63" s="147" t="n">
        <x:v>46190</x:v>
      </x:c>
      <x:c r="F63" s="156"/>
      <x:c r="G63" s="149"/>
      <x:c r="H63" s="149"/>
      <x:c r="I63" s="149"/>
      <x:c r="J63" s="149"/>
      <x:c r="K63" s="149"/>
      <x:c r="L63" s="149"/>
      <x:c r="M63" s="149"/>
      <x:c r="N63" s="149"/>
      <x:c r="O63" s="149"/>
      <x:c r="P63" s="149"/>
      <x:c r="Q63" s="149"/>
      <x:c r="R63" s="149"/>
      <x:c r="S63" s="149"/>
    </x:row>
    <x:row r="64" ht="19" customHeight="1">
      <x:c r="A64" s="167" t="str">
        <x:v>3.1.2</x:v>
      </x:c>
      <x:c r="B64" s="167" t="str">
        <x:v>    Develop Authentication, Access and Settings</x:v>
      </x:c>
      <x:c r="C64" s="168" t="str">
        <x:f>E64-D64+1&amp;IF(E64-D64+1=1," day"," days")</x:f>
        <x:v>7 days</x:v>
      </x:c>
      <x:c r="D64" s="147" t="n">
        <x:v>46188</x:v>
      </x:c>
      <x:c r="E64" s="147" t="n">
        <x:v>46194</x:v>
      </x:c>
      <x:c r="F64" s="156"/>
      <x:c r="G64" s="149"/>
      <x:c r="H64" s="149"/>
      <x:c r="I64" s="149"/>
      <x:c r="J64" s="149"/>
      <x:c r="K64" s="149"/>
      <x:c r="L64" s="149"/>
      <x:c r="M64" s="149"/>
      <x:c r="N64" s="149"/>
      <x:c r="O64" s="149"/>
      <x:c r="P64" s="149"/>
      <x:c r="Q64" s="149"/>
      <x:c r="R64" s="149"/>
      <x:c r="S64" s="149"/>
    </x:row>
    <x:row r="65" ht="19" customHeight="1">
      <x:c r="A65" s="173" t="str">
        <x:v>3.1.2.1</x:v>
      </x:c>
      <x:c r="B65" s="173" t="str">
        <x:v>      Develop caregiver registration</x:v>
      </x:c>
      <x:c r="C65" s="174" t="str">
        <x:f>E65-D65+1&amp;IF(E65-D65+1=1," day"," days")</x:f>
        <x:v>1 day</x:v>
      </x:c>
      <x:c r="D65" s="147" t="n">
        <x:v>46188</x:v>
      </x:c>
      <x:c r="E65" s="147" t="n">
        <x:v>46188</x:v>
      </x:c>
      <x:c r="F65" s="156"/>
      <x:c r="G65" s="149"/>
      <x:c r="H65" s="149"/>
      <x:c r="I65" s="149"/>
      <x:c r="J65" s="149"/>
      <x:c r="K65" s="149"/>
      <x:c r="L65" s="149"/>
      <x:c r="M65" s="149"/>
      <x:c r="N65" s="149"/>
      <x:c r="O65" s="149"/>
      <x:c r="P65" s="149"/>
      <x:c r="Q65" s="149"/>
      <x:c r="R65" s="149"/>
      <x:c r="S65" s="149"/>
    </x:row>
    <x:row r="66" ht="19" customHeight="1">
      <x:c r="A66" s="173" t="str">
        <x:v>3.1.2.2</x:v>
      </x:c>
      <x:c r="B66" s="173" t="str">
        <x:v>      Develop caregiver and patient login</x:v>
      </x:c>
      <x:c r="C66" s="174" t="str">
        <x:f>E66-D66+1&amp;IF(E66-D66+1=1," day"," days")</x:f>
        <x:v>1 day</x:v>
      </x:c>
      <x:c r="D66" s="147" t="n">
        <x:v>46189</x:v>
      </x:c>
      <x:c r="E66" s="147" t="n">
        <x:v>46189</x:v>
      </x:c>
      <x:c r="F66" s="156"/>
      <x:c r="G66" s="149"/>
      <x:c r="H66" s="149"/>
      <x:c r="I66" s="149"/>
      <x:c r="J66" s="149"/>
      <x:c r="K66" s="149"/>
      <x:c r="L66" s="149"/>
      <x:c r="M66" s="149"/>
      <x:c r="N66" s="149"/>
      <x:c r="O66" s="149"/>
      <x:c r="P66" s="149"/>
      <x:c r="Q66" s="149"/>
      <x:c r="R66" s="149"/>
      <x:c r="S66" s="149"/>
    </x:row>
    <x:row r="67" ht="19" customHeight="1">
      <x:c r="A67" s="173" t="str">
        <x:v>3.1.2.3</x:v>
      </x:c>
      <x:c r="B67" s="173" t="str">
        <x:v>      Implement role-based dashboard navigation</x:v>
      </x:c>
      <x:c r="C67" s="174" t="str">
        <x:f>E67-D67+1&amp;IF(E67-D67+1=1," day"," days")</x:f>
        <x:v>1 day</x:v>
      </x:c>
      <x:c r="D67" s="147" t="n">
        <x:v>46190</x:v>
      </x:c>
      <x:c r="E67" s="147" t="n">
        <x:v>46190</x:v>
      </x:c>
      <x:c r="F67" s="156"/>
      <x:c r="G67" s="149"/>
      <x:c r="H67" s="149"/>
      <x:c r="I67" s="149"/>
      <x:c r="J67" s="149"/>
      <x:c r="K67" s="149"/>
      <x:c r="L67" s="149"/>
      <x:c r="M67" s="149"/>
      <x:c r="N67" s="149"/>
      <x:c r="O67" s="149"/>
      <x:c r="P67" s="149"/>
      <x:c r="Q67" s="149"/>
      <x:c r="R67" s="149"/>
      <x:c r="S67" s="149"/>
    </x:row>
    <x:row r="68" ht="19" customHeight="1">
      <x:c r="A68" s="173" t="str">
        <x:v>3.1.2.4</x:v>
      </x:c>
      <x:c r="B68" s="173" t="str">
        <x:v>      Implement role-based side drawer</x:v>
      </x:c>
      <x:c r="C68" s="174" t="str">
        <x:f>E68-D68+1&amp;IF(E68-D68+1=1," day"," days")</x:f>
        <x:v>1 day</x:v>
      </x:c>
      <x:c r="D68" s="147" t="n">
        <x:v>46191</x:v>
      </x:c>
      <x:c r="E68" s="147" t="n">
        <x:v>46191</x:v>
      </x:c>
      <x:c r="F68" s="156"/>
      <x:c r="G68" s="149"/>
      <x:c r="H68" s="149"/>
      <x:c r="I68" s="149"/>
      <x:c r="J68" s="149"/>
      <x:c r="K68" s="149"/>
      <x:c r="L68" s="149"/>
      <x:c r="M68" s="149"/>
      <x:c r="N68" s="149"/>
      <x:c r="O68" s="149"/>
      <x:c r="P68" s="149"/>
      <x:c r="Q68" s="149"/>
      <x:c r="R68" s="149"/>
      <x:c r="S68" s="149"/>
    </x:row>
    <x:row r="69" ht="19" customHeight="1">
      <x:c r="A69" s="173" t="str">
        <x:v>3.1.2.5</x:v>
      </x:c>
      <x:c r="B69" s="173" t="str">
        <x:v>      Develop font-size settings</x:v>
      </x:c>
      <x:c r="C69" s="174" t="str">
        <x:f>E69-D69+1&amp;IF(E69-D69+1=1," day"," days")</x:f>
        <x:v>1 day</x:v>
      </x:c>
      <x:c r="D69" s="147" t="n">
        <x:v>46192</x:v>
      </x:c>
      <x:c r="E69" s="147" t="n">
        <x:v>46192</x:v>
      </x:c>
      <x:c r="F69" s="156"/>
      <x:c r="G69" s="149"/>
      <x:c r="H69" s="149"/>
      <x:c r="I69" s="149"/>
      <x:c r="J69" s="149"/>
      <x:c r="K69" s="149"/>
      <x:c r="L69" s="149"/>
      <x:c r="M69" s="149"/>
      <x:c r="N69" s="149"/>
      <x:c r="O69" s="149"/>
      <x:c r="P69" s="149"/>
      <x:c r="Q69" s="149"/>
      <x:c r="R69" s="149"/>
      <x:c r="S69" s="149"/>
    </x:row>
    <x:row r="70" ht="19" customHeight="1">
      <x:c r="A70" s="173" t="str">
        <x:v>3.1.2.6</x:v>
      </x:c>
      <x:c r="B70" s="173" t="str">
        <x:v>      Implement secure logout</x:v>
      </x:c>
      <x:c r="C70" s="174" t="str">
        <x:f>E70-D70+1&amp;IF(E70-D70+1=1," day"," days")</x:f>
        <x:v>2 days</x:v>
      </x:c>
      <x:c r="D70" s="147" t="n">
        <x:v>46193</x:v>
      </x:c>
      <x:c r="E70" s="147" t="n">
        <x:v>46194</x:v>
      </x:c>
      <x:c r="F70" s="156"/>
      <x:c r="G70" s="149"/>
      <x:c r="H70" s="149"/>
      <x:c r="I70" s="149"/>
      <x:c r="J70" s="149"/>
      <x:c r="K70" s="149"/>
      <x:c r="L70" s="149"/>
      <x:c r="M70" s="149"/>
      <x:c r="N70" s="149"/>
      <x:c r="O70" s="149"/>
      <x:c r="P70" s="149"/>
      <x:c r="Q70" s="149"/>
      <x:c r="R70" s="149"/>
      <x:c r="S70" s="149"/>
    </x:row>
    <x:row r="71" ht="19" customHeight="1">
      <x:c r="A71" s="167" t="str">
        <x:v>3.1.3</x:v>
      </x:c>
      <x:c r="B71" s="167" t="str">
        <x:v>    Develop Patient Management Module</x:v>
      </x:c>
      <x:c r="C71" s="168" t="str">
        <x:f>E71-D71+1&amp;IF(E71-D71+1=1," day"," days")</x:f>
        <x:v>9 days</x:v>
      </x:c>
      <x:c r="D71" s="147" t="n">
        <x:v>46191</x:v>
      </x:c>
      <x:c r="E71" s="147" t="n">
        <x:v>46199</x:v>
      </x:c>
      <x:c r="F71" s="156"/>
      <x:c r="G71" s="156"/>
      <x:c r="H71" s="149"/>
      <x:c r="I71" s="149"/>
      <x:c r="J71" s="149"/>
      <x:c r="K71" s="149"/>
      <x:c r="L71" s="149"/>
      <x:c r="M71" s="149"/>
      <x:c r="N71" s="149"/>
      <x:c r="O71" s="149"/>
      <x:c r="P71" s="149"/>
      <x:c r="Q71" s="149"/>
      <x:c r="R71" s="149"/>
      <x:c r="S71" s="149"/>
    </x:row>
    <x:row r="72" ht="19" customHeight="1">
      <x:c r="A72" s="173" t="str">
        <x:v>3.1.3.1</x:v>
      </x:c>
      <x:c r="B72" s="173" t="str">
        <x:v>      Develop patient account creation</x:v>
      </x:c>
      <x:c r="C72" s="174" t="str">
        <x:f>E72-D72+1&amp;IF(E72-D72+1=1," day"," days")</x:f>
        <x:v>1 day</x:v>
      </x:c>
      <x:c r="D72" s="147" t="n">
        <x:v>46191</x:v>
      </x:c>
      <x:c r="E72" s="147" t="n">
        <x:v>46191</x:v>
      </x:c>
      <x:c r="F72" s="156"/>
      <x:c r="G72" s="149"/>
      <x:c r="H72" s="149"/>
      <x:c r="I72" s="149"/>
      <x:c r="J72" s="149"/>
      <x:c r="K72" s="149"/>
      <x:c r="L72" s="149"/>
      <x:c r="M72" s="149"/>
      <x:c r="N72" s="149"/>
      <x:c r="O72" s="149"/>
      <x:c r="P72" s="149"/>
      <x:c r="Q72" s="149"/>
      <x:c r="R72" s="149"/>
      <x:c r="S72" s="149"/>
    </x:row>
    <x:row r="73" ht="19" customHeight="1">
      <x:c r="A73" s="173" t="str">
        <x:v>3.1.3.2</x:v>
      </x:c>
      <x:c r="B73" s="173" t="str">
        <x:v>      Implement caregiver-patient account linking</x:v>
      </x:c>
      <x:c r="C73" s="174" t="str">
        <x:f>E73-D73+1&amp;IF(E73-D73+1=1," day"," days")</x:f>
        <x:v>1 day</x:v>
      </x:c>
      <x:c r="D73" s="147" t="n">
        <x:v>46192</x:v>
      </x:c>
      <x:c r="E73" s="147" t="n">
        <x:v>46192</x:v>
      </x:c>
      <x:c r="F73" s="156"/>
      <x:c r="G73" s="149"/>
      <x:c r="H73" s="149"/>
      <x:c r="I73" s="149"/>
      <x:c r="J73" s="149"/>
      <x:c r="K73" s="149"/>
      <x:c r="L73" s="149"/>
      <x:c r="M73" s="149"/>
      <x:c r="N73" s="149"/>
      <x:c r="O73" s="149"/>
      <x:c r="P73" s="149"/>
      <x:c r="Q73" s="149"/>
      <x:c r="R73" s="149"/>
      <x:c r="S73" s="149"/>
    </x:row>
    <x:row r="74" ht="19" customHeight="1">
      <x:c r="A74" s="173" t="str">
        <x:v>3.1.3.3</x:v>
      </x:c>
      <x:c r="B74" s="173" t="str">
        <x:v>      Record dementia stage and type</x:v>
      </x:c>
      <x:c r="C74" s="174" t="str">
        <x:f>E74-D74+1&amp;IF(E74-D74+1=1," day"," days")</x:f>
        <x:v>1 day</x:v>
      </x:c>
      <x:c r="D74" s="147" t="n">
        <x:v>46193</x:v>
      </x:c>
      <x:c r="E74" s="147" t="n">
        <x:v>46193</x:v>
      </x:c>
      <x:c r="F74" s="156"/>
      <x:c r="G74" s="149"/>
      <x:c r="H74" s="149"/>
      <x:c r="I74" s="149"/>
      <x:c r="J74" s="149"/>
      <x:c r="K74" s="149"/>
      <x:c r="L74" s="149"/>
      <x:c r="M74" s="149"/>
      <x:c r="N74" s="149"/>
      <x:c r="O74" s="149"/>
      <x:c r="P74" s="149"/>
      <x:c r="Q74" s="149"/>
      <x:c r="R74" s="149"/>
      <x:c r="S74" s="149"/>
    </x:row>
    <x:row r="75" ht="19" customHeight="1">
      <x:c r="A75" s="173" t="str">
        <x:v>3.1.3.4</x:v>
      </x:c>
      <x:c r="B75" s="173" t="str">
        <x:v>      Develop patient information updating</x:v>
      </x:c>
      <x:c r="C75" s="174" t="str">
        <x:f>E75-D75+1&amp;IF(E75-D75+1=1," day"," days")</x:f>
        <x:v>2 days</x:v>
      </x:c>
      <x:c r="D75" s="147" t="n">
        <x:v>46194</x:v>
      </x:c>
      <x:c r="E75" s="147" t="n">
        <x:v>46195</x:v>
      </x:c>
      <x:c r="F75" s="156"/>
      <x:c r="G75" s="156"/>
      <x:c r="H75" s="149"/>
      <x:c r="I75" s="149"/>
      <x:c r="J75" s="149"/>
      <x:c r="K75" s="149"/>
      <x:c r="L75" s="149"/>
      <x:c r="M75" s="149"/>
      <x:c r="N75" s="149"/>
      <x:c r="O75" s="149"/>
      <x:c r="P75" s="149"/>
      <x:c r="Q75" s="149"/>
      <x:c r="R75" s="149"/>
      <x:c r="S75" s="149"/>
    </x:row>
    <x:row r="76" ht="19" customHeight="1">
      <x:c r="A76" s="173" t="str">
        <x:v>3.1.3.5</x:v>
      </x:c>
      <x:c r="B76" s="173" t="str">
        <x:v>      Develop patient account unlinking</x:v>
      </x:c>
      <x:c r="C76" s="174" t="str">
        <x:f>E76-D76+1&amp;IF(E76-D76+1=1," day"," days")</x:f>
        <x:v>1 day</x:v>
      </x:c>
      <x:c r="D76" s="147" t="n">
        <x:v>46196</x:v>
      </x:c>
      <x:c r="E76" s="147" t="n">
        <x:v>46196</x:v>
      </x:c>
      <x:c r="F76" s="149"/>
      <x:c r="G76" s="156"/>
      <x:c r="H76" s="149"/>
      <x:c r="I76" s="149"/>
      <x:c r="J76" s="149"/>
      <x:c r="K76" s="149"/>
      <x:c r="L76" s="149"/>
      <x:c r="M76" s="149"/>
      <x:c r="N76" s="149"/>
      <x:c r="O76" s="149"/>
      <x:c r="P76" s="149"/>
      <x:c r="Q76" s="149"/>
      <x:c r="R76" s="149"/>
      <x:c r="S76" s="149"/>
    </x:row>
    <x:row r="77" ht="19" customHeight="1">
      <x:c r="A77" s="173" t="str">
        <x:v>3.1.3.6</x:v>
      </x:c>
      <x:c r="B77" s="173" t="str">
        <x:v>      Implement patient password reset</x:v>
      </x:c>
      <x:c r="C77" s="174" t="str">
        <x:f>E77-D77+1&amp;IF(E77-D77+1=1," day"," days")</x:f>
        <x:v>1 day</x:v>
      </x:c>
      <x:c r="D77" s="147" t="n">
        <x:v>46197</x:v>
      </x:c>
      <x:c r="E77" s="147" t="n">
        <x:v>46197</x:v>
      </x:c>
      <x:c r="F77" s="149"/>
      <x:c r="G77" s="156"/>
      <x:c r="H77" s="149"/>
      <x:c r="I77" s="149"/>
      <x:c r="J77" s="149"/>
      <x:c r="K77" s="149"/>
      <x:c r="L77" s="149"/>
      <x:c r="M77" s="149"/>
      <x:c r="N77" s="149"/>
      <x:c r="O77" s="149"/>
      <x:c r="P77" s="149"/>
      <x:c r="Q77" s="149"/>
      <x:c r="R77" s="149"/>
      <x:c r="S77" s="149"/>
    </x:row>
    <x:row r="78" ht="19" customHeight="1">
      <x:c r="A78" s="173" t="str">
        <x:v>3.1.3.7</x:v>
      </x:c>
      <x:c r="B78" s="173" t="str">
        <x:v>      Develop patient list interface</x:v>
      </x:c>
      <x:c r="C78" s="174" t="str">
        <x:f>E78-D78+1&amp;IF(E78-D78+1=1," day"," days")</x:f>
        <x:v>2 days</x:v>
      </x:c>
      <x:c r="D78" s="147" t="n">
        <x:v>46198</x:v>
      </x:c>
      <x:c r="E78" s="147" t="n">
        <x:v>46199</x:v>
      </x:c>
      <x:c r="F78" s="149"/>
      <x:c r="G78" s="156"/>
      <x:c r="H78" s="149"/>
      <x:c r="I78" s="149"/>
      <x:c r="J78" s="149"/>
      <x:c r="K78" s="149"/>
      <x:c r="L78" s="149"/>
      <x:c r="M78" s="149"/>
      <x:c r="N78" s="149"/>
      <x:c r="O78" s="149"/>
      <x:c r="P78" s="149"/>
      <x:c r="Q78" s="149"/>
      <x:c r="R78" s="149"/>
      <x:c r="S78" s="149"/>
    </x:row>
    <x:row r="79" ht="19" customHeight="1">
      <x:c r="A79" s="167" t="str">
        <x:v>3.1.4</x:v>
      </x:c>
      <x:c r="B79" s="167" t="str">
        <x:v>    Develop Task and Medication Module</x:v>
      </x:c>
      <x:c r="C79" s="168" t="str">
        <x:f>E79-D79+1&amp;IF(E79-D79+1=1," day"," days")</x:f>
        <x:v>19 days</x:v>
      </x:c>
      <x:c r="D79" s="147" t="n">
        <x:v>46195</x:v>
      </x:c>
      <x:c r="E79" s="147" t="n">
        <x:v>46213</x:v>
      </x:c>
      <x:c r="F79" s="149"/>
      <x:c r="G79" s="156"/>
      <x:c r="H79" s="156"/>
      <x:c r="I79" s="156"/>
      <x:c r="J79" s="149"/>
      <x:c r="K79" s="149"/>
      <x:c r="L79" s="149"/>
      <x:c r="M79" s="149"/>
      <x:c r="N79" s="149"/>
      <x:c r="O79" s="149"/>
      <x:c r="P79" s="149"/>
      <x:c r="Q79" s="149"/>
      <x:c r="R79" s="149"/>
      <x:c r="S79" s="149"/>
    </x:row>
    <x:row r="80" ht="19" customHeight="1">
      <x:c r="A80" s="173" t="str">
        <x:v>3.1.4.1</x:v>
      </x:c>
      <x:c r="B80" s="173" t="str">
        <x:v>      Develop task and medication creation</x:v>
      </x:c>
      <x:c r="C80" s="174" t="str">
        <x:f>E80-D80+1&amp;IF(E80-D80+1=1," day"," days")</x:f>
        <x:v>1 day</x:v>
      </x:c>
      <x:c r="D80" s="147" t="n">
        <x:v>46195</x:v>
      </x:c>
      <x:c r="E80" s="147" t="n">
        <x:v>46195</x:v>
      </x:c>
      <x:c r="F80" s="149"/>
      <x:c r="G80" s="156"/>
      <x:c r="H80" s="149"/>
      <x:c r="I80" s="149"/>
      <x:c r="J80" s="149"/>
      <x:c r="K80" s="149"/>
      <x:c r="L80" s="149"/>
      <x:c r="M80" s="149"/>
      <x:c r="N80" s="149"/>
      <x:c r="O80" s="149"/>
      <x:c r="P80" s="149"/>
      <x:c r="Q80" s="149"/>
      <x:c r="R80" s="149"/>
      <x:c r="S80" s="149"/>
    </x:row>
    <x:row r="81" ht="19" customHeight="1">
      <x:c r="A81" s="173" t="str">
        <x:v>3.1.4.2</x:v>
      </x:c>
      <x:c r="B81" s="173" t="str">
        <x:v>      Implement patient task assignment</x:v>
      </x:c>
      <x:c r="C81" s="174" t="str">
        <x:f>E81-D81+1&amp;IF(E81-D81+1=1," day"," days")</x:f>
        <x:v>2 days</x:v>
      </x:c>
      <x:c r="D81" s="147" t="n">
        <x:v>46196</x:v>
      </x:c>
      <x:c r="E81" s="147" t="n">
        <x:v>46197</x:v>
      </x:c>
      <x:c r="F81" s="149"/>
      <x:c r="G81" s="156"/>
      <x:c r="H81" s="149"/>
      <x:c r="I81" s="149"/>
      <x:c r="J81" s="149"/>
      <x:c r="K81" s="149"/>
      <x:c r="L81" s="149"/>
      <x:c r="M81" s="149"/>
      <x:c r="N81" s="149"/>
      <x:c r="O81" s="149"/>
      <x:c r="P81" s="149"/>
      <x:c r="Q81" s="149"/>
      <x:c r="R81" s="149"/>
      <x:c r="S81" s="149"/>
    </x:row>
    <x:row r="82" ht="19" customHeight="1">
      <x:c r="A82" s="173" t="str">
        <x:v>3.1.4.3</x:v>
      </x:c>
      <x:c r="B82" s="173" t="str">
        <x:v>      Implement medication dosage recording</x:v>
      </x:c>
      <x:c r="C82" s="174" t="str">
        <x:f>E82-D82+1&amp;IF(E82-D82+1=1," day"," days")</x:f>
        <x:v>2 days</x:v>
      </x:c>
      <x:c r="D82" s="147" t="n">
        <x:v>46198</x:v>
      </x:c>
      <x:c r="E82" s="147" t="n">
        <x:v>46199</x:v>
      </x:c>
      <x:c r="F82" s="149"/>
      <x:c r="G82" s="156"/>
      <x:c r="H82" s="149"/>
      <x:c r="I82" s="149"/>
      <x:c r="J82" s="149"/>
      <x:c r="K82" s="149"/>
      <x:c r="L82" s="149"/>
      <x:c r="M82" s="149"/>
      <x:c r="N82" s="149"/>
      <x:c r="O82" s="149"/>
      <x:c r="P82" s="149"/>
      <x:c r="Q82" s="149"/>
      <x:c r="R82" s="149"/>
      <x:c r="S82" s="149"/>
    </x:row>
    <x:row r="83" ht="19" customHeight="1">
      <x:c r="A83" s="173" t="str">
        <x:v>3.1.4.4</x:v>
      </x:c>
      <x:c r="B83" s="173" t="str">
        <x:v>      Develop task and medication updating</x:v>
      </x:c>
      <x:c r="C83" s="174" t="str">
        <x:f>E83-D83+1&amp;IF(E83-D83+1=1," day"," days")</x:f>
        <x:v>1 day</x:v>
      </x:c>
      <x:c r="D83" s="147" t="n">
        <x:v>46200</x:v>
      </x:c>
      <x:c r="E83" s="147" t="n">
        <x:v>46200</x:v>
      </x:c>
      <x:c r="F83" s="149"/>
      <x:c r="G83" s="156"/>
      <x:c r="H83" s="149"/>
      <x:c r="I83" s="149"/>
      <x:c r="J83" s="149"/>
      <x:c r="K83" s="149"/>
      <x:c r="L83" s="149"/>
      <x:c r="M83" s="149"/>
      <x:c r="N83" s="149"/>
      <x:c r="O83" s="149"/>
      <x:c r="P83" s="149"/>
      <x:c r="Q83" s="149"/>
      <x:c r="R83" s="149"/>
      <x:c r="S83" s="149"/>
    </x:row>
    <x:row r="84" ht="19" customHeight="1">
      <x:c r="A84" s="173" t="str">
        <x:v>3.1.4.5</x:v>
      </x:c>
      <x:c r="B84" s="173" t="str">
        <x:v>      Develop task and medication deletion</x:v>
      </x:c>
      <x:c r="C84" s="174" t="str">
        <x:f>E84-D84+1&amp;IF(E84-D84+1=1," day"," days")</x:f>
        <x:v>2 days</x:v>
      </x:c>
      <x:c r="D84" s="147" t="n">
        <x:v>46201</x:v>
      </x:c>
      <x:c r="E84" s="147" t="n">
        <x:v>46202</x:v>
      </x:c>
      <x:c r="F84" s="149"/>
      <x:c r="G84" s="156"/>
      <x:c r="H84" s="156"/>
      <x:c r="I84" s="149"/>
      <x:c r="J84" s="149"/>
      <x:c r="K84" s="149"/>
      <x:c r="L84" s="149"/>
      <x:c r="M84" s="149"/>
      <x:c r="N84" s="149"/>
      <x:c r="O84" s="149"/>
      <x:c r="P84" s="149"/>
      <x:c r="Q84" s="149"/>
      <x:c r="R84" s="149"/>
      <x:c r="S84" s="149"/>
    </x:row>
    <x:row r="85" ht="19" customHeight="1">
      <x:c r="A85" s="173" t="str">
        <x:v>3.1.4.6</x:v>
      </x:c>
      <x:c r="B85" s="173" t="str">
        <x:v>      Implement daily task timeline</x:v>
      </x:c>
      <x:c r="C85" s="174" t="str">
        <x:f>E85-D85+1&amp;IF(E85-D85+1=1," day"," days")</x:f>
        <x:v>2 days</x:v>
      </x:c>
      <x:c r="D85" s="147" t="n">
        <x:v>46203</x:v>
      </x:c>
      <x:c r="E85" s="147" t="n">
        <x:v>46204</x:v>
      </x:c>
      <x:c r="F85" s="149"/>
      <x:c r="G85" s="149"/>
      <x:c r="H85" s="156"/>
      <x:c r="I85" s="149"/>
      <x:c r="J85" s="149"/>
      <x:c r="K85" s="149"/>
      <x:c r="L85" s="149"/>
      <x:c r="M85" s="149"/>
      <x:c r="N85" s="149"/>
      <x:c r="O85" s="149"/>
      <x:c r="P85" s="149"/>
      <x:c r="Q85" s="149"/>
      <x:c r="R85" s="149"/>
      <x:c r="S85" s="149"/>
    </x:row>
    <x:row r="86" ht="19" customHeight="1">
      <x:c r="A86" s="173" t="str">
        <x:v>3.1.4.7</x:v>
      </x:c>
      <x:c r="B86" s="173" t="str">
        <x:v>      Implement task status management</x:v>
      </x:c>
      <x:c r="C86" s="174" t="str">
        <x:f>E86-D86+1&amp;IF(E86-D86+1=1," day"," days")</x:f>
        <x:v>2 days</x:v>
      </x:c>
      <x:c r="D86" s="147" t="n">
        <x:v>46205</x:v>
      </x:c>
      <x:c r="E86" s="147" t="n">
        <x:v>46206</x:v>
      </x:c>
      <x:c r="F86" s="149"/>
      <x:c r="G86" s="149"/>
      <x:c r="H86" s="156"/>
      <x:c r="I86" s="149"/>
      <x:c r="J86" s="149"/>
      <x:c r="K86" s="149"/>
      <x:c r="L86" s="149"/>
      <x:c r="M86" s="149"/>
      <x:c r="N86" s="149"/>
      <x:c r="O86" s="149"/>
      <x:c r="P86" s="149"/>
      <x:c r="Q86" s="149"/>
      <x:c r="R86" s="149"/>
      <x:c r="S86" s="149"/>
    </x:row>
    <x:row r="87" ht="19" customHeight="1">
      <x:c r="A87" s="173" t="str">
        <x:v>3.1.4.8</x:v>
      </x:c>
      <x:c r="B87" s="173" t="str">
        <x:v>      Implement occurrence-specific task statuses</x:v>
      </x:c>
      <x:c r="C87" s="174" t="str">
        <x:f>E87-D87+1&amp;IF(E87-D87+1=1," day"," days")</x:f>
        <x:v>1 day</x:v>
      </x:c>
      <x:c r="D87" s="147" t="n">
        <x:v>46207</x:v>
      </x:c>
      <x:c r="E87" s="147" t="n">
        <x:v>46207</x:v>
      </x:c>
      <x:c r="F87" s="149"/>
      <x:c r="G87" s="149"/>
      <x:c r="H87" s="156"/>
      <x:c r="I87" s="149"/>
      <x:c r="J87" s="149"/>
      <x:c r="K87" s="149"/>
      <x:c r="L87" s="149"/>
      <x:c r="M87" s="149"/>
      <x:c r="N87" s="149"/>
      <x:c r="O87" s="149"/>
      <x:c r="P87" s="149"/>
      <x:c r="Q87" s="149"/>
      <x:c r="R87" s="149"/>
      <x:c r="S87" s="149"/>
    </x:row>
    <x:row r="88" ht="19" customHeight="1">
      <x:c r="A88" s="173" t="str">
        <x:v>3.1.4.9</x:v>
      </x:c>
      <x:c r="B88" s="173" t="str">
        <x:v>      Develop task history and status filtering</x:v>
      </x:c>
      <x:c r="C88" s="174" t="str">
        <x:f>E88-D88+1&amp;IF(E88-D88+1=1," day"," days")</x:f>
        <x:v>2 days</x:v>
      </x:c>
      <x:c r="D88" s="147" t="n">
        <x:v>46208</x:v>
      </x:c>
      <x:c r="E88" s="147" t="n">
        <x:v>46209</x:v>
      </x:c>
      <x:c r="F88" s="149"/>
      <x:c r="G88" s="149"/>
      <x:c r="H88" s="156"/>
      <x:c r="I88" s="156"/>
      <x:c r="J88" s="149"/>
      <x:c r="K88" s="149"/>
      <x:c r="L88" s="149"/>
      <x:c r="M88" s="149"/>
      <x:c r="N88" s="149"/>
      <x:c r="O88" s="149"/>
      <x:c r="P88" s="149"/>
      <x:c r="Q88" s="149"/>
      <x:c r="R88" s="149"/>
      <x:c r="S88" s="149"/>
    </x:row>
    <x:row r="89" ht="19" customHeight="1">
      <x:c r="A89" s="173" t="str">
        <x:v>3.1.4.10</x:v>
      </x:c>
      <x:c r="B89" s="173" t="str">
        <x:v>      Develop patient task calendar</x:v>
      </x:c>
      <x:c r="C89" s="174" t="str">
        <x:f>E89-D89+1&amp;IF(E89-D89+1=1," day"," days")</x:f>
        <x:v>2 days</x:v>
      </x:c>
      <x:c r="D89" s="147" t="n">
        <x:v>46210</x:v>
      </x:c>
      <x:c r="E89" s="147" t="n">
        <x:v>46211</x:v>
      </x:c>
      <x:c r="F89" s="149"/>
      <x:c r="G89" s="149"/>
      <x:c r="H89" s="149"/>
      <x:c r="I89" s="156"/>
      <x:c r="J89" s="149"/>
      <x:c r="K89" s="149"/>
      <x:c r="L89" s="149"/>
      <x:c r="M89" s="149"/>
      <x:c r="N89" s="149"/>
      <x:c r="O89" s="149"/>
      <x:c r="P89" s="149"/>
      <x:c r="Q89" s="149"/>
      <x:c r="R89" s="149"/>
      <x:c r="S89" s="149"/>
    </x:row>
    <x:row r="90" ht="19" customHeight="1">
      <x:c r="A90" s="173" t="str">
        <x:v>3.1.4.11</x:v>
      </x:c>
      <x:c r="B90" s="173" t="str">
        <x:v>      Implement dashboard progress calculation</x:v>
      </x:c>
      <x:c r="C90" s="174" t="str">
        <x:f>E90-D90+1&amp;IF(E90-D90+1=1," day"," days")</x:f>
        <x:v>2 days</x:v>
      </x:c>
      <x:c r="D90" s="147" t="n">
        <x:v>46212</x:v>
      </x:c>
      <x:c r="E90" s="147" t="n">
        <x:v>46213</x:v>
      </x:c>
      <x:c r="F90" s="149"/>
      <x:c r="G90" s="149"/>
      <x:c r="H90" s="149"/>
      <x:c r="I90" s="156"/>
      <x:c r="J90" s="149"/>
      <x:c r="K90" s="149"/>
      <x:c r="L90" s="149"/>
      <x:c r="M90" s="149"/>
      <x:c r="N90" s="149"/>
      <x:c r="O90" s="149"/>
      <x:c r="P90" s="149"/>
      <x:c r="Q90" s="149"/>
      <x:c r="R90" s="149"/>
      <x:c r="S90" s="149"/>
    </x:row>
    <x:row r="91" ht="19" customHeight="1">
      <x:c r="A91" s="167" t="str">
        <x:v>3.1.5</x:v>
      </x:c>
      <x:c r="B91" s="167" t="str">
        <x:v>    Develop Recurrence and Notification Module</x:v>
      </x:c>
      <x:c r="C91" s="168" t="str">
        <x:f>E91-D91+1&amp;IF(E91-D91+1=1," day"," days")</x:f>
        <x:v>19 days</x:v>
      </x:c>
      <x:c r="D91" s="147" t="n">
        <x:v>46202</x:v>
      </x:c>
      <x:c r="E91" s="147" t="n">
        <x:v>46220</x:v>
      </x:c>
      <x:c r="F91" s="149"/>
      <x:c r="G91" s="149"/>
      <x:c r="H91" s="156"/>
      <x:c r="I91" s="156"/>
      <x:c r="J91" s="156"/>
      <x:c r="K91" s="149"/>
      <x:c r="L91" s="149"/>
      <x:c r="M91" s="149"/>
      <x:c r="N91" s="149"/>
      <x:c r="O91" s="149"/>
      <x:c r="P91" s="149"/>
      <x:c r="Q91" s="149"/>
      <x:c r="R91" s="149"/>
      <x:c r="S91" s="149"/>
    </x:row>
    <x:row r="92" ht="19" customHeight="1">
      <x:c r="A92" s="173" t="str">
        <x:v>3.1.5.1</x:v>
      </x:c>
      <x:c r="B92" s="173" t="str">
        <x:v>      Implement daily/weekly/monthly/yearly/custom recurrence</x:v>
      </x:c>
      <x:c r="C92" s="174" t="str">
        <x:f>E92-D92+1&amp;IF(E92-D92+1=1," day"," days")</x:f>
        <x:v>2 days</x:v>
      </x:c>
      <x:c r="D92" s="147" t="n">
        <x:v>46202</x:v>
      </x:c>
      <x:c r="E92" s="147" t="n">
        <x:v>46203</x:v>
      </x:c>
      <x:c r="F92" s="149"/>
      <x:c r="G92" s="149"/>
      <x:c r="H92" s="156"/>
      <x:c r="I92" s="149"/>
      <x:c r="J92" s="149"/>
      <x:c r="K92" s="149"/>
      <x:c r="L92" s="149"/>
      <x:c r="M92" s="149"/>
      <x:c r="N92" s="149"/>
      <x:c r="O92" s="149"/>
      <x:c r="P92" s="149"/>
      <x:c r="Q92" s="149"/>
      <x:c r="R92" s="149"/>
      <x:c r="S92" s="149"/>
    </x:row>
    <x:row r="93" ht="19" customHeight="1">
      <x:c r="A93" s="173" t="str">
        <x:v>3.1.5.2</x:v>
      </x:c>
      <x:c r="B93" s="173" t="str">
        <x:v>      Implement optional recurrence end dates</x:v>
      </x:c>
      <x:c r="C93" s="174" t="str">
        <x:f>E93-D93+1&amp;IF(E93-D93+1=1," day"," days")</x:f>
        <x:v>2 days</x:v>
      </x:c>
      <x:c r="D93" s="147" t="n">
        <x:v>46204</x:v>
      </x:c>
      <x:c r="E93" s="147" t="n">
        <x:v>46205</x:v>
      </x:c>
      <x:c r="F93" s="149"/>
      <x:c r="G93" s="149"/>
      <x:c r="H93" s="156"/>
      <x:c r="I93" s="149"/>
      <x:c r="J93" s="149"/>
      <x:c r="K93" s="149"/>
      <x:c r="L93" s="149"/>
      <x:c r="M93" s="149"/>
      <x:c r="N93" s="149"/>
      <x:c r="O93" s="149"/>
      <x:c r="P93" s="149"/>
      <x:c r="Q93" s="149"/>
      <x:c r="R93" s="149"/>
      <x:c r="S93" s="149"/>
    </x:row>
    <x:row r="94" ht="19" customHeight="1">
      <x:c r="A94" s="173" t="str">
        <x:v>3.1.5.3</x:v>
      </x:c>
      <x:c r="B94" s="173" t="str">
        <x:v>      Develop local notification scheduling</x:v>
      </x:c>
      <x:c r="C94" s="174" t="str">
        <x:f>E94-D94+1&amp;IF(E94-D94+1=1," day"," days")</x:f>
        <x:v>3 days</x:v>
      </x:c>
      <x:c r="D94" s="147" t="n">
        <x:v>46206</x:v>
      </x:c>
      <x:c r="E94" s="147" t="n">
        <x:v>46208</x:v>
      </x:c>
      <x:c r="F94" s="149"/>
      <x:c r="G94" s="149"/>
      <x:c r="H94" s="156"/>
      <x:c r="I94" s="149"/>
      <x:c r="J94" s="149"/>
      <x:c r="K94" s="149"/>
      <x:c r="L94" s="149"/>
      <x:c r="M94" s="149"/>
      <x:c r="N94" s="149"/>
      <x:c r="O94" s="149"/>
      <x:c r="P94" s="149"/>
      <x:c r="Q94" s="149"/>
      <x:c r="R94" s="149"/>
      <x:c r="S94" s="149"/>
    </x:row>
    <x:row r="95" ht="19" customHeight="1">
      <x:c r="A95" s="173" t="str">
        <x:v>3.1.5.4</x:v>
      </x:c>
      <x:c r="B95" s="173" t="str">
        <x:v>      Implement configurable reminder intervals</x:v>
      </x:c>
      <x:c r="C95" s="174" t="str">
        <x:f>E95-D95+1&amp;IF(E95-D95+1=1," day"," days")</x:f>
        <x:v>2 days</x:v>
      </x:c>
      <x:c r="D95" s="147" t="n">
        <x:v>46209</x:v>
      </x:c>
      <x:c r="E95" s="147" t="n">
        <x:v>46210</x:v>
      </x:c>
      <x:c r="F95" s="149"/>
      <x:c r="G95" s="149"/>
      <x:c r="H95" s="149"/>
      <x:c r="I95" s="156"/>
      <x:c r="J95" s="149"/>
      <x:c r="K95" s="149"/>
      <x:c r="L95" s="149"/>
      <x:c r="M95" s="149"/>
      <x:c r="N95" s="149"/>
      <x:c r="O95" s="149"/>
      <x:c r="P95" s="149"/>
      <x:c r="Q95" s="149"/>
      <x:c r="R95" s="149"/>
      <x:c r="S95" s="149"/>
    </x:row>
    <x:row r="96" ht="19" customHeight="1">
      <x:c r="A96" s="173" t="str">
        <x:v>3.1.5.5</x:v>
      </x:c>
      <x:c r="B96" s="173" t="str">
        <x:v>      Implement repeated reminder notifications</x:v>
      </x:c>
      <x:c r="C96" s="174" t="str">
        <x:f>E96-D96+1&amp;IF(E96-D96+1=1," day"," days")</x:f>
        <x:v>2 days</x:v>
      </x:c>
      <x:c r="D96" s="147" t="n">
        <x:v>46211</x:v>
      </x:c>
      <x:c r="E96" s="147" t="n">
        <x:v>46212</x:v>
      </x:c>
      <x:c r="F96" s="149"/>
      <x:c r="G96" s="149"/>
      <x:c r="H96" s="149"/>
      <x:c r="I96" s="156"/>
      <x:c r="J96" s="149"/>
      <x:c r="K96" s="149"/>
      <x:c r="L96" s="149"/>
      <x:c r="M96" s="149"/>
      <x:c r="N96" s="149"/>
      <x:c r="O96" s="149"/>
      <x:c r="P96" s="149"/>
      <x:c r="Q96" s="149"/>
      <x:c r="R96" s="149"/>
      <x:c r="S96" s="149"/>
    </x:row>
    <x:row r="97" ht="19" customHeight="1">
      <x:c r="A97" s="173" t="str">
        <x:v>3.1.5.6</x:v>
      </x:c>
      <x:c r="B97" s="173" t="str">
        <x:v>      Develop Complete and Missed notification actions</x:v>
      </x:c>
      <x:c r="C97" s="174" t="str">
        <x:f>E97-D97+1&amp;IF(E97-D97+1=1," day"," days")</x:f>
        <x:v>3 days</x:v>
      </x:c>
      <x:c r="D97" s="147" t="n">
        <x:v>46213</x:v>
      </x:c>
      <x:c r="E97" s="147" t="n">
        <x:v>46215</x:v>
      </x:c>
      <x:c r="F97" s="149"/>
      <x:c r="G97" s="149"/>
      <x:c r="H97" s="149"/>
      <x:c r="I97" s="156"/>
      <x:c r="J97" s="149"/>
      <x:c r="K97" s="149"/>
      <x:c r="L97" s="149"/>
      <x:c r="M97" s="149"/>
      <x:c r="N97" s="149"/>
      <x:c r="O97" s="149"/>
      <x:c r="P97" s="149"/>
      <x:c r="Q97" s="149"/>
      <x:c r="R97" s="149"/>
      <x:c r="S97" s="149"/>
    </x:row>
    <x:row r="98" ht="19" customHeight="1">
      <x:c r="A98" s="173" t="str">
        <x:v>3.1.5.7</x:v>
      </x:c>
      <x:c r="B98" s="173" t="str">
        <x:v>      Implement automatic missed-task processing</x:v>
      </x:c>
      <x:c r="C98" s="174" t="str">
        <x:f>E98-D98+1&amp;IF(E98-D98+1=1," day"," days")</x:f>
        <x:v>2 days</x:v>
      </x:c>
      <x:c r="D98" s="147" t="n">
        <x:v>46216</x:v>
      </x:c>
      <x:c r="E98" s="147" t="n">
        <x:v>46217</x:v>
      </x:c>
      <x:c r="F98" s="149"/>
      <x:c r="G98" s="149"/>
      <x:c r="H98" s="149"/>
      <x:c r="I98" s="149"/>
      <x:c r="J98" s="156"/>
      <x:c r="K98" s="149"/>
      <x:c r="L98" s="149"/>
      <x:c r="M98" s="149"/>
      <x:c r="N98" s="149"/>
      <x:c r="O98" s="149"/>
      <x:c r="P98" s="149"/>
      <x:c r="Q98" s="149"/>
      <x:c r="R98" s="149"/>
      <x:c r="S98" s="149"/>
    </x:row>
    <x:row r="99" ht="19" customHeight="1">
      <x:c r="A99" s="173" t="str">
        <x:v>3.1.5.8</x:v>
      </x:c>
      <x:c r="B99" s="173" t="str">
        <x:v>      Implement notification rescheduling and cancellation</x:v>
      </x:c>
      <x:c r="C99" s="174" t="str">
        <x:f>E99-D99+1&amp;IF(E99-D99+1=1," day"," days")</x:f>
        <x:v>3 days</x:v>
      </x:c>
      <x:c r="D99" s="147" t="n">
        <x:v>46218</x:v>
      </x:c>
      <x:c r="E99" s="147" t="n">
        <x:v>46220</x:v>
      </x:c>
      <x:c r="F99" s="149"/>
      <x:c r="G99" s="149"/>
      <x:c r="H99" s="149"/>
      <x:c r="I99" s="149"/>
      <x:c r="J99" s="156"/>
      <x:c r="K99" s="149"/>
      <x:c r="L99" s="149"/>
      <x:c r="M99" s="149"/>
      <x:c r="N99" s="149"/>
      <x:c r="O99" s="149"/>
      <x:c r="P99" s="149"/>
      <x:c r="Q99" s="149"/>
      <x:c r="R99" s="149"/>
      <x:c r="S99" s="149"/>
    </x:row>
    <x:row r="100" ht="19" customHeight="1">
      <x:c r="A100" s="167" t="str">
        <x:v>3.1.6</x:v>
      </x:c>
      <x:c r="B100" s="167" t="str">
        <x:v>    Develop Cognitive Games Module</x:v>
      </x:c>
      <x:c r="C100" s="168" t="str">
        <x:f>E100-D100+1&amp;IF(E100-D100+1=1," day"," days")</x:f>
        <x:v>19 days</x:v>
      </x:c>
      <x:c r="D100" s="147" t="n">
        <x:v>46209</x:v>
      </x:c>
      <x:c r="E100" s="147" t="n">
        <x:v>46227</x:v>
      </x:c>
      <x:c r="F100" s="149"/>
      <x:c r="G100" s="149"/>
      <x:c r="H100" s="149"/>
      <x:c r="I100" s="156"/>
      <x:c r="J100" s="156"/>
      <x:c r="K100" s="156"/>
      <x:c r="L100" s="149"/>
      <x:c r="M100" s="149"/>
      <x:c r="N100" s="149"/>
      <x:c r="O100" s="149"/>
      <x:c r="P100" s="149"/>
      <x:c r="Q100" s="149"/>
      <x:c r="R100" s="149"/>
      <x:c r="S100" s="149"/>
    </x:row>
    <x:row r="101" ht="19" customHeight="1">
      <x:c r="A101" s="173" t="str">
        <x:v>3.1.6.1</x:v>
      </x:c>
      <x:c r="B101" s="173" t="str">
        <x:v>      Develop Alzheimer’s early and middle stage game set</x:v>
      </x:c>
      <x:c r="C101" s="174" t="str">
        <x:f>E101-D101+1&amp;IF(E101-D101+1=1," day"," days")</x:f>
        <x:v>3 days</x:v>
      </x:c>
      <x:c r="D101" s="147" t="n">
        <x:v>46209</x:v>
      </x:c>
      <x:c r="E101" s="147" t="n">
        <x:v>46211</x:v>
      </x:c>
      <x:c r="F101" s="149"/>
      <x:c r="G101" s="149"/>
      <x:c r="H101" s="149"/>
      <x:c r="I101" s="156"/>
      <x:c r="J101" s="149"/>
      <x:c r="K101" s="149"/>
      <x:c r="L101" s="149"/>
      <x:c r="M101" s="149"/>
      <x:c r="N101" s="149"/>
      <x:c r="O101" s="149"/>
      <x:c r="P101" s="149"/>
      <x:c r="Q101" s="149"/>
      <x:c r="R101" s="149"/>
      <x:c r="S101" s="149"/>
    </x:row>
    <x:row r="102" ht="19" customHeight="1">
      <x:c r="A102" s="173" t="str">
        <x:v>3.1.6.2</x:v>
      </x:c>
      <x:c r="B102" s="173" t="str">
        <x:v>      Develop vascular dementia early and middle stage game set</x:v>
      </x:c>
      <x:c r="C102" s="174" t="str">
        <x:f>E102-D102+1&amp;IF(E102-D102+1=1," day"," days")</x:f>
        <x:v>3 days</x:v>
      </x:c>
      <x:c r="D102" s="147" t="n">
        <x:v>46212</x:v>
      </x:c>
      <x:c r="E102" s="147" t="n">
        <x:v>46214</x:v>
      </x:c>
      <x:c r="F102" s="149"/>
      <x:c r="G102" s="149"/>
      <x:c r="H102" s="149"/>
      <x:c r="I102" s="156"/>
      <x:c r="J102" s="149"/>
      <x:c r="K102" s="149"/>
      <x:c r="L102" s="149"/>
      <x:c r="M102" s="149"/>
      <x:c r="N102" s="149"/>
      <x:c r="O102" s="149"/>
      <x:c r="P102" s="149"/>
      <x:c r="Q102" s="149"/>
      <x:c r="R102" s="149"/>
      <x:c r="S102" s="149"/>
    </x:row>
    <x:row r="103" ht="19" customHeight="1">
      <x:c r="A103" s="173" t="str">
        <x:v>3.1.6.3</x:v>
      </x:c>
      <x:c r="B103" s="173" t="str">
        <x:v>      Implement dementia profile-based game selection</x:v>
      </x:c>
      <x:c r="C103" s="174" t="str">
        <x:f>E103-D103+1&amp;IF(E103-D103+1=1," day"," days")</x:f>
        <x:v>3 days</x:v>
      </x:c>
      <x:c r="D103" s="147" t="n">
        <x:v>46215</x:v>
      </x:c>
      <x:c r="E103" s="147" t="n">
        <x:v>46217</x:v>
      </x:c>
      <x:c r="F103" s="149"/>
      <x:c r="G103" s="149"/>
      <x:c r="H103" s="149"/>
      <x:c r="I103" s="156"/>
      <x:c r="J103" s="156"/>
      <x:c r="K103" s="149"/>
      <x:c r="L103" s="149"/>
      <x:c r="M103" s="149"/>
      <x:c r="N103" s="149"/>
      <x:c r="O103" s="149"/>
      <x:c r="P103" s="149"/>
      <x:c r="Q103" s="149"/>
      <x:c r="R103" s="149"/>
      <x:c r="S103" s="149"/>
    </x:row>
    <x:row r="104" ht="19" customHeight="1">
      <x:c r="A104" s="173" t="str">
        <x:v>3.1.6.4</x:v>
      </x:c>
      <x:c r="B104" s="173" t="str">
        <x:v>      Implement errorless guidance and hints</x:v>
      </x:c>
      <x:c r="C104" s="174" t="str">
        <x:f>E104-D104+1&amp;IF(E104-D104+1=1," day"," days")</x:f>
        <x:v>3 days</x:v>
      </x:c>
      <x:c r="D104" s="147" t="n">
        <x:v>46218</x:v>
      </x:c>
      <x:c r="E104" s="147" t="n">
        <x:v>46220</x:v>
      </x:c>
      <x:c r="F104" s="149"/>
      <x:c r="G104" s="149"/>
      <x:c r="H104" s="149"/>
      <x:c r="I104" s="149"/>
      <x:c r="J104" s="156"/>
      <x:c r="K104" s="149"/>
      <x:c r="L104" s="149"/>
      <x:c r="M104" s="149"/>
      <x:c r="N104" s="149"/>
      <x:c r="O104" s="149"/>
      <x:c r="P104" s="149"/>
      <x:c r="Q104" s="149"/>
      <x:c r="R104" s="149"/>
      <x:c r="S104" s="149"/>
    </x:row>
    <x:row r="105" ht="19" customHeight="1">
      <x:c r="A105" s="173" t="str">
        <x:v>3.1.6.5</x:v>
      </x:c>
      <x:c r="B105" s="173" t="str">
        <x:v>      Record cognitive-game session results</x:v>
      </x:c>
      <x:c r="C105" s="174" t="str">
        <x:f>E105-D105+1&amp;IF(E105-D105+1=1," day"," days")</x:f>
        <x:v>3 days</x:v>
      </x:c>
      <x:c r="D105" s="147" t="n">
        <x:v>46221</x:v>
      </x:c>
      <x:c r="E105" s="147" t="n">
        <x:v>46223</x:v>
      </x:c>
      <x:c r="F105" s="149"/>
      <x:c r="G105" s="149"/>
      <x:c r="H105" s="149"/>
      <x:c r="I105" s="149"/>
      <x:c r="J105" s="156"/>
      <x:c r="K105" s="156"/>
      <x:c r="L105" s="149"/>
      <x:c r="M105" s="149"/>
      <x:c r="N105" s="149"/>
      <x:c r="O105" s="149"/>
      <x:c r="P105" s="149"/>
      <x:c r="Q105" s="149"/>
      <x:c r="R105" s="149"/>
      <x:c r="S105" s="149"/>
    </x:row>
    <x:row r="106" ht="19" customHeight="1">
      <x:c r="A106" s="173" t="str">
        <x:v>3.1.6.6</x:v>
      </x:c>
      <x:c r="B106" s="173" t="str">
        <x:v>      Calculate game accuracy and performance</x:v>
      </x:c>
      <x:c r="C106" s="174" t="str">
        <x:f>E106-D106+1&amp;IF(E106-D106+1=1," day"," days")</x:f>
        <x:v>4 days</x:v>
      </x:c>
      <x:c r="D106" s="147" t="n">
        <x:v>46224</x:v>
      </x:c>
      <x:c r="E106" s="147" t="n">
        <x:v>46227</x:v>
      </x:c>
      <x:c r="F106" s="149"/>
      <x:c r="G106" s="149"/>
      <x:c r="H106" s="149"/>
      <x:c r="I106" s="149"/>
      <x:c r="J106" s="149"/>
      <x:c r="K106" s="156"/>
      <x:c r="L106" s="149"/>
      <x:c r="M106" s="149"/>
      <x:c r="N106" s="149"/>
      <x:c r="O106" s="149"/>
      <x:c r="P106" s="149"/>
      <x:c r="Q106" s="149"/>
      <x:c r="R106" s="149"/>
      <x:c r="S106" s="149"/>
    </x:row>
    <x:row r="107" ht="19" customHeight="1">
      <x:c r="A107" s="167" t="str">
        <x:v>3.1.7</x:v>
      </x:c>
      <x:c r="B107" s="167" t="str">
        <x:v>    Develop Adaptive Difficulty Module</x:v>
      </x:c>
      <x:c r="C107" s="168" t="str">
        <x:f>E107-D107+1&amp;IF(E107-D107+1=1," day"," days")</x:f>
        <x:v>19 days</x:v>
      </x:c>
      <x:c r="D107" s="147" t="n">
        <x:v>46216</x:v>
      </x:c>
      <x:c r="E107" s="147" t="n">
        <x:v>46234</x:v>
      </x:c>
      <x:c r="F107" s="149"/>
      <x:c r="G107" s="149"/>
      <x:c r="H107" s="149"/>
      <x:c r="I107" s="149"/>
      <x:c r="J107" s="156"/>
      <x:c r="K107" s="156"/>
      <x:c r="L107" s="156"/>
      <x:c r="M107" s="149"/>
      <x:c r="N107" s="149"/>
      <x:c r="O107" s="149"/>
      <x:c r="P107" s="149"/>
      <x:c r="Q107" s="149"/>
      <x:c r="R107" s="149"/>
      <x:c r="S107" s="149"/>
    </x:row>
    <x:row r="108" ht="19" customHeight="1">
      <x:c r="A108" s="173" t="str">
        <x:v>3.1.7.1</x:v>
      </x:c>
      <x:c r="B108" s="173" t="str">
        <x:v>      Implement per-game difficulty levels</x:v>
      </x:c>
      <x:c r="C108" s="174" t="str">
        <x:f>E108-D108+1&amp;IF(E108-D108+1=1," day"," days")</x:f>
        <x:v>2 days</x:v>
      </x:c>
      <x:c r="D108" s="147" t="n">
        <x:v>46216</x:v>
      </x:c>
      <x:c r="E108" s="147" t="n">
        <x:v>46217</x:v>
      </x:c>
      <x:c r="F108" s="149"/>
      <x:c r="G108" s="149"/>
      <x:c r="H108" s="149"/>
      <x:c r="I108" s="149"/>
      <x:c r="J108" s="156"/>
      <x:c r="K108" s="149"/>
      <x:c r="L108" s="149"/>
      <x:c r="M108" s="149"/>
      <x:c r="N108" s="149"/>
      <x:c r="O108" s="149"/>
      <x:c r="P108" s="149"/>
      <x:c r="Q108" s="149"/>
      <x:c r="R108" s="149"/>
      <x:c r="S108" s="149"/>
    </x:row>
    <x:row r="109" ht="19" customHeight="1">
      <x:c r="A109" s="173" t="str">
        <x:v>3.1.7.2</x:v>
      </x:c>
      <x:c r="B109" s="173" t="str">
        <x:v>      Implement automatic difficulty promotion/demotion</x:v>
      </x:c>
      <x:c r="C109" s="174" t="str">
        <x:f>E109-D109+1&amp;IF(E109-D109+1=1," day"," days")</x:f>
        <x:v>3 days</x:v>
      </x:c>
      <x:c r="D109" s="147" t="n">
        <x:v>46218</x:v>
      </x:c>
      <x:c r="E109" s="147" t="n">
        <x:v>46220</x:v>
      </x:c>
      <x:c r="F109" s="149"/>
      <x:c r="G109" s="149"/>
      <x:c r="H109" s="149"/>
      <x:c r="I109" s="149"/>
      <x:c r="J109" s="156"/>
      <x:c r="K109" s="149"/>
      <x:c r="L109" s="149"/>
      <x:c r="M109" s="149"/>
      <x:c r="N109" s="149"/>
      <x:c r="O109" s="149"/>
      <x:c r="P109" s="149"/>
      <x:c r="Q109" s="149"/>
      <x:c r="R109" s="149"/>
      <x:c r="S109" s="149"/>
    </x:row>
    <x:row r="110" ht="19" customHeight="1">
      <x:c r="A110" s="173" t="str">
        <x:v>3.1.7.3</x:v>
      </x:c>
      <x:c r="B110" s="173" t="str">
        <x:v>      Develop caregiver difficulty override</x:v>
      </x:c>
      <x:c r="C110" s="174" t="str">
        <x:f>E110-D110+1&amp;IF(E110-D110+1=1," day"," days")</x:f>
        <x:v>3 days</x:v>
      </x:c>
      <x:c r="D110" s="147" t="n">
        <x:v>46221</x:v>
      </x:c>
      <x:c r="E110" s="147" t="n">
        <x:v>46223</x:v>
      </x:c>
      <x:c r="F110" s="149"/>
      <x:c r="G110" s="149"/>
      <x:c r="H110" s="149"/>
      <x:c r="I110" s="149"/>
      <x:c r="J110" s="156"/>
      <x:c r="K110" s="156"/>
      <x:c r="L110" s="149"/>
      <x:c r="M110" s="149"/>
      <x:c r="N110" s="149"/>
      <x:c r="O110" s="149"/>
      <x:c r="P110" s="149"/>
      <x:c r="Q110" s="149"/>
      <x:c r="R110" s="149"/>
      <x:c r="S110" s="149"/>
    </x:row>
    <x:row r="111" ht="19" customHeight="1">
      <x:c r="A111" s="173" t="str">
        <x:v>3.1.7.4</x:v>
      </x:c>
      <x:c r="B111" s="173" t="str">
        <x:v>      Implement automatic adjustment freezing</x:v>
      </x:c>
      <x:c r="C111" s="174" t="str">
        <x:f>E111-D111+1&amp;IF(E111-D111+1=1," day"," days")</x:f>
        <x:v>2 days</x:v>
      </x:c>
      <x:c r="D111" s="147" t="n">
        <x:v>46224</x:v>
      </x:c>
      <x:c r="E111" s="147" t="n">
        <x:v>46225</x:v>
      </x:c>
      <x:c r="F111" s="149"/>
      <x:c r="G111" s="149"/>
      <x:c r="H111" s="149"/>
      <x:c r="I111" s="149"/>
      <x:c r="J111" s="149"/>
      <x:c r="K111" s="156"/>
      <x:c r="L111" s="149"/>
      <x:c r="M111" s="149"/>
      <x:c r="N111" s="149"/>
      <x:c r="O111" s="149"/>
      <x:c r="P111" s="149"/>
      <x:c r="Q111" s="149"/>
      <x:c r="R111" s="149"/>
      <x:c r="S111" s="149"/>
    </x:row>
    <x:row r="112" ht="19" customHeight="1">
      <x:c r="A112" s="173" t="str">
        <x:v>3.1.7.5</x:v>
      </x:c>
      <x:c r="B112" s="173" t="str">
        <x:v>      Record difficulty change history</x:v>
      </x:c>
      <x:c r="C112" s="174" t="str">
        <x:f>E112-D112+1&amp;IF(E112-D112+1=1," day"," days")</x:f>
        <x:v>3 days</x:v>
      </x:c>
      <x:c r="D112" s="147" t="n">
        <x:v>46226</x:v>
      </x:c>
      <x:c r="E112" s="147" t="n">
        <x:v>46228</x:v>
      </x:c>
      <x:c r="F112" s="149"/>
      <x:c r="G112" s="149"/>
      <x:c r="H112" s="149"/>
      <x:c r="I112" s="149"/>
      <x:c r="J112" s="149"/>
      <x:c r="K112" s="156"/>
      <x:c r="L112" s="149"/>
      <x:c r="M112" s="149"/>
      <x:c r="N112" s="149"/>
      <x:c r="O112" s="149"/>
      <x:c r="P112" s="149"/>
      <x:c r="Q112" s="149"/>
      <x:c r="R112" s="149"/>
      <x:c r="S112" s="149"/>
    </x:row>
    <x:row r="113" ht="19" customHeight="1">
      <x:c r="A113" s="173" t="str">
        <x:v>3.1.7.6</x:v>
      </x:c>
      <x:c r="B113" s="173" t="str">
        <x:v>      Develop Game Statistics interface</x:v>
      </x:c>
      <x:c r="C113" s="174" t="str">
        <x:f>E113-D113+1&amp;IF(E113-D113+1=1," day"," days")</x:f>
        <x:v>3 days</x:v>
      </x:c>
      <x:c r="D113" s="147" t="n">
        <x:v>46229</x:v>
      </x:c>
      <x:c r="E113" s="147" t="n">
        <x:v>46231</x:v>
      </x:c>
      <x:c r="F113" s="149"/>
      <x:c r="G113" s="149"/>
      <x:c r="H113" s="149"/>
      <x:c r="I113" s="149"/>
      <x:c r="J113" s="149"/>
      <x:c r="K113" s="156"/>
      <x:c r="L113" s="156"/>
      <x:c r="M113" s="149"/>
      <x:c r="N113" s="149"/>
      <x:c r="O113" s="149"/>
      <x:c r="P113" s="149"/>
      <x:c r="Q113" s="149"/>
      <x:c r="R113" s="149"/>
      <x:c r="S113" s="149"/>
    </x:row>
    <x:row r="114" ht="19" customHeight="1">
      <x:c r="A114" s="173" t="str">
        <x:v>3.1.7.7</x:v>
      </x:c>
      <x:c r="B114" s="173" t="str">
        <x:v>      Develop game accuracy trend chart</x:v>
      </x:c>
      <x:c r="C114" s="174" t="str">
        <x:f>E114-D114+1&amp;IF(E114-D114+1=1," day"," days")</x:f>
        <x:v>3 days</x:v>
      </x:c>
      <x:c r="D114" s="147" t="n">
        <x:v>46232</x:v>
      </x:c>
      <x:c r="E114" s="147" t="n">
        <x:v>46234</x:v>
      </x:c>
      <x:c r="F114" s="149"/>
      <x:c r="G114" s="149"/>
      <x:c r="H114" s="149"/>
      <x:c r="I114" s="149"/>
      <x:c r="J114" s="149"/>
      <x:c r="K114" s="149"/>
      <x:c r="L114" s="156"/>
      <x:c r="M114" s="149"/>
      <x:c r="N114" s="149"/>
      <x:c r="O114" s="149"/>
      <x:c r="P114" s="149"/>
      <x:c r="Q114" s="149"/>
      <x:c r="R114" s="149"/>
      <x:c r="S114" s="149"/>
    </x:row>
    <x:row r="115" ht="19" customHeight="1">
      <x:c r="A115" s="167" t="str">
        <x:v>3.1.8</x:v>
      </x:c>
      <x:c r="B115" s="167" t="str">
        <x:v>    Develop Gamification and Rewards Module</x:v>
      </x:c>
      <x:c r="C115" s="168" t="str">
        <x:f>E115-D115+1&amp;IF(E115-D115+1=1," day"," days")</x:f>
        <x:v>19 days</x:v>
      </x:c>
      <x:c r="D115" s="147" t="n">
        <x:v>46209</x:v>
      </x:c>
      <x:c r="E115" s="147" t="n">
        <x:v>46227</x:v>
      </x:c>
      <x:c r="F115" s="149"/>
      <x:c r="G115" s="149"/>
      <x:c r="H115" s="149"/>
      <x:c r="I115" s="156"/>
      <x:c r="J115" s="156"/>
      <x:c r="K115" s="156"/>
      <x:c r="L115" s="149"/>
      <x:c r="M115" s="149"/>
      <x:c r="N115" s="149"/>
      <x:c r="O115" s="149"/>
      <x:c r="P115" s="149"/>
      <x:c r="Q115" s="149"/>
      <x:c r="R115" s="149"/>
      <x:c r="S115" s="149"/>
    </x:row>
    <x:row r="116" ht="19" customHeight="1">
      <x:c r="A116" s="173" t="str">
        <x:v>3.1.8.1</x:v>
      </x:c>
      <x:c r="B116" s="173" t="str">
        <x:v>      Implement daily login streak</x:v>
      </x:c>
      <x:c r="C116" s="174" t="str">
        <x:f>E116-D116+1&amp;IF(E116-D116+1=1," day"," days")</x:f>
        <x:v>2 days</x:v>
      </x:c>
      <x:c r="D116" s="147" t="n">
        <x:v>46209</x:v>
      </x:c>
      <x:c r="E116" s="147" t="n">
        <x:v>46210</x:v>
      </x:c>
      <x:c r="F116" s="149"/>
      <x:c r="G116" s="149"/>
      <x:c r="H116" s="149"/>
      <x:c r="I116" s="156"/>
      <x:c r="J116" s="149"/>
      <x:c r="K116" s="149"/>
      <x:c r="L116" s="149"/>
      <x:c r="M116" s="149"/>
      <x:c r="N116" s="149"/>
      <x:c r="O116" s="149"/>
      <x:c r="P116" s="149"/>
      <x:c r="Q116" s="149"/>
      <x:c r="R116" s="149"/>
      <x:c r="S116" s="149"/>
    </x:row>
    <x:row r="117" ht="19" customHeight="1">
      <x:c r="A117" s="173" t="str">
        <x:v>3.1.8.2</x:v>
      </x:c>
      <x:c r="B117" s="173" t="str">
        <x:v>      Implement seven-day reward cycle</x:v>
      </x:c>
      <x:c r="C117" s="174" t="str">
        <x:f>E117-D117+1&amp;IF(E117-D117+1=1," day"," days")</x:f>
        <x:v>2 days</x:v>
      </x:c>
      <x:c r="D117" s="147" t="n">
        <x:v>46211</x:v>
      </x:c>
      <x:c r="E117" s="147" t="n">
        <x:v>46212</x:v>
      </x:c>
      <x:c r="F117" s="149"/>
      <x:c r="G117" s="149"/>
      <x:c r="H117" s="149"/>
      <x:c r="I117" s="156"/>
      <x:c r="J117" s="149"/>
      <x:c r="K117" s="149"/>
      <x:c r="L117" s="149"/>
      <x:c r="M117" s="149"/>
      <x:c r="N117" s="149"/>
      <x:c r="O117" s="149"/>
      <x:c r="P117" s="149"/>
      <x:c r="Q117" s="149"/>
      <x:c r="R117" s="149"/>
      <x:c r="S117" s="149"/>
    </x:row>
    <x:row r="118" ht="19" customHeight="1">
      <x:c r="A118" s="173" t="str">
        <x:v>3.1.8.3</x:v>
      </x:c>
      <x:c r="B118" s="173" t="str">
        <x:v>      Implement missed-day streak reset</x:v>
      </x:c>
      <x:c r="C118" s="174" t="str">
        <x:f>E118-D118+1&amp;IF(E118-D118+1=1," day"," days")</x:f>
        <x:v>2 days</x:v>
      </x:c>
      <x:c r="D118" s="147" t="n">
        <x:v>46213</x:v>
      </x:c>
      <x:c r="E118" s="147" t="n">
        <x:v>46214</x:v>
      </x:c>
      <x:c r="F118" s="149"/>
      <x:c r="G118" s="149"/>
      <x:c r="H118" s="149"/>
      <x:c r="I118" s="156"/>
      <x:c r="J118" s="149"/>
      <x:c r="K118" s="149"/>
      <x:c r="L118" s="149"/>
      <x:c r="M118" s="149"/>
      <x:c r="N118" s="149"/>
      <x:c r="O118" s="149"/>
      <x:c r="P118" s="149"/>
      <x:c r="Q118" s="149"/>
      <x:c r="R118" s="149"/>
      <x:c r="S118" s="149"/>
    </x:row>
    <x:row r="119" ht="19" customHeight="1">
      <x:c r="A119" s="173" t="str">
        <x:v>3.1.8.4</x:v>
      </x:c>
      <x:c r="B119" s="173" t="str">
        <x:v>      Award task and medication completion points</x:v>
      </x:c>
      <x:c r="C119" s="174" t="str">
        <x:f>E119-D119+1&amp;IF(E119-D119+1=1," day"," days")</x:f>
        <x:v>2 days</x:v>
      </x:c>
      <x:c r="D119" s="147" t="n">
        <x:v>46215</x:v>
      </x:c>
      <x:c r="E119" s="147" t="n">
        <x:v>46216</x:v>
      </x:c>
      <x:c r="F119" s="149"/>
      <x:c r="G119" s="149"/>
      <x:c r="H119" s="149"/>
      <x:c r="I119" s="156"/>
      <x:c r="J119" s="156"/>
      <x:c r="K119" s="149"/>
      <x:c r="L119" s="149"/>
      <x:c r="M119" s="149"/>
      <x:c r="N119" s="149"/>
      <x:c r="O119" s="149"/>
      <x:c r="P119" s="149"/>
      <x:c r="Q119" s="149"/>
      <x:c r="R119" s="149"/>
      <x:c r="S119" s="149"/>
    </x:row>
    <x:row r="120" ht="19" customHeight="1">
      <x:c r="A120" s="173" t="str">
        <x:v>3.1.8.5</x:v>
      </x:c>
      <x:c r="B120" s="173" t="str">
        <x:v>      Award cognitive-game completion points</x:v>
      </x:c>
      <x:c r="C120" s="174" t="str">
        <x:f>E120-D120+1&amp;IF(E120-D120+1=1," day"," days")</x:f>
        <x:v>2 days</x:v>
      </x:c>
      <x:c r="D120" s="147" t="n">
        <x:v>46217</x:v>
      </x:c>
      <x:c r="E120" s="147" t="n">
        <x:v>46218</x:v>
      </x:c>
      <x:c r="F120" s="149"/>
      <x:c r="G120" s="149"/>
      <x:c r="H120" s="149"/>
      <x:c r="I120" s="149"/>
      <x:c r="J120" s="156"/>
      <x:c r="K120" s="149"/>
      <x:c r="L120" s="149"/>
      <x:c r="M120" s="149"/>
      <x:c r="N120" s="149"/>
      <x:c r="O120" s="149"/>
      <x:c r="P120" s="149"/>
      <x:c r="Q120" s="149"/>
      <x:c r="R120" s="149"/>
      <x:c r="S120" s="149"/>
    </x:row>
    <x:row r="121" ht="19" customHeight="1">
      <x:c r="A121" s="173" t="str">
        <x:v>3.1.8.6</x:v>
      </x:c>
      <x:c r="B121" s="173" t="str">
        <x:v>      Calculate patient level and progress</x:v>
      </x:c>
      <x:c r="C121" s="174" t="str">
        <x:f>E121-D121+1&amp;IF(E121-D121+1=1," day"," days")</x:f>
        <x:v>2 days</x:v>
      </x:c>
      <x:c r="D121" s="147" t="n">
        <x:v>46219</x:v>
      </x:c>
      <x:c r="E121" s="147" t="n">
        <x:v>46220</x:v>
      </x:c>
      <x:c r="F121" s="149"/>
      <x:c r="G121" s="149"/>
      <x:c r="H121" s="149"/>
      <x:c r="I121" s="149"/>
      <x:c r="J121" s="156"/>
      <x:c r="K121" s="149"/>
      <x:c r="L121" s="149"/>
      <x:c r="M121" s="149"/>
      <x:c r="N121" s="149"/>
      <x:c r="O121" s="149"/>
      <x:c r="P121" s="149"/>
      <x:c r="Q121" s="149"/>
      <x:c r="R121" s="149"/>
      <x:c r="S121" s="149"/>
    </x:row>
    <x:row r="122" ht="19" customHeight="1">
      <x:c r="A122" s="173" t="str">
        <x:v>3.1.8.7</x:v>
      </x:c>
      <x:c r="B122" s="173" t="str">
        <x:v>      Develop streak and points interface</x:v>
      </x:c>
      <x:c r="C122" s="174" t="str">
        <x:f>E122-D122+1&amp;IF(E122-D122+1=1," day"," days")</x:f>
        <x:v>2 days</x:v>
      </x:c>
      <x:c r="D122" s="147" t="n">
        <x:v>46221</x:v>
      </x:c>
      <x:c r="E122" s="147" t="n">
        <x:v>46222</x:v>
      </x:c>
      <x:c r="F122" s="149"/>
      <x:c r="G122" s="149"/>
      <x:c r="H122" s="149"/>
      <x:c r="I122" s="149"/>
      <x:c r="J122" s="156"/>
      <x:c r="K122" s="149"/>
      <x:c r="L122" s="149"/>
      <x:c r="M122" s="149"/>
      <x:c r="N122" s="149"/>
      <x:c r="O122" s="149"/>
      <x:c r="P122" s="149"/>
      <x:c r="Q122" s="149"/>
      <x:c r="R122" s="149"/>
      <x:c r="S122" s="149"/>
    </x:row>
    <x:row r="123" ht="19" customHeight="1">
      <x:c r="A123" s="173" t="str">
        <x:v>3.1.8.8</x:v>
      </x:c>
      <x:c r="B123" s="173" t="str">
        <x:v>      Implement points based reward game unlocking</x:v>
      </x:c>
      <x:c r="C123" s="174" t="str">
        <x:f>E123-D123+1&amp;IF(E123-D123+1=1," day"," days")</x:f>
        <x:v>2 days</x:v>
      </x:c>
      <x:c r="D123" s="147" t="n">
        <x:v>46223</x:v>
      </x:c>
      <x:c r="E123" s="147" t="n">
        <x:v>46224</x:v>
      </x:c>
      <x:c r="F123" s="149"/>
      <x:c r="G123" s="149"/>
      <x:c r="H123" s="149"/>
      <x:c r="I123" s="149"/>
      <x:c r="J123" s="149"/>
      <x:c r="K123" s="156"/>
      <x:c r="L123" s="149"/>
      <x:c r="M123" s="149"/>
      <x:c r="N123" s="149"/>
      <x:c r="O123" s="149"/>
      <x:c r="P123" s="149"/>
      <x:c r="Q123" s="149"/>
      <x:c r="R123" s="149"/>
      <x:c r="S123" s="149"/>
    </x:row>
    <x:row r="124" ht="19" customHeight="1">
      <x:c r="A124" s="173" t="str">
        <x:v>3.1.8.9</x:v>
      </x:c>
      <x:c r="B124" s="173" t="str">
        <x:v>      Integrate external reward games</x:v>
      </x:c>
      <x:c r="C124" s="174" t="str">
        <x:f>E124-D124+1&amp;IF(E124-D124+1=1," day"," days")</x:f>
        <x:v>3 days</x:v>
      </x:c>
      <x:c r="D124" s="147" t="n">
        <x:v>46225</x:v>
      </x:c>
      <x:c r="E124" s="147" t="n">
        <x:v>46227</x:v>
      </x:c>
      <x:c r="F124" s="149"/>
      <x:c r="G124" s="149"/>
      <x:c r="H124" s="149"/>
      <x:c r="I124" s="149"/>
      <x:c r="J124" s="149"/>
      <x:c r="K124" s="156"/>
      <x:c r="L124" s="149"/>
      <x:c r="M124" s="149"/>
      <x:c r="N124" s="149"/>
      <x:c r="O124" s="149"/>
      <x:c r="P124" s="149"/>
      <x:c r="Q124" s="149"/>
      <x:c r="R124" s="149"/>
      <x:c r="S124" s="149"/>
    </x:row>
    <x:row r="125" ht="19" customHeight="1">
      <x:c r="A125" s="167" t="str">
        <x:v>3.1.9</x:v>
      </x:c>
      <x:c r="B125" s="167" t="str">
        <x:v>    Develop Monitoring and Analytics Module</x:v>
      </x:c>
      <x:c r="C125" s="168" t="str">
        <x:f>E125-D125+1&amp;IF(E125-D125+1=1," day"," days")</x:f>
        <x:v>19 days</x:v>
      </x:c>
      <x:c r="D125" s="147" t="n">
        <x:v>46223</x:v>
      </x:c>
      <x:c r="E125" s="147" t="n">
        <x:v>46241</x:v>
      </x:c>
      <x:c r="F125" s="149"/>
      <x:c r="G125" s="149"/>
      <x:c r="H125" s="149"/>
      <x:c r="I125" s="149"/>
      <x:c r="J125" s="149"/>
      <x:c r="K125" s="156"/>
      <x:c r="L125" s="156"/>
      <x:c r="M125" s="156"/>
      <x:c r="N125" s="149"/>
      <x:c r="O125" s="149"/>
      <x:c r="P125" s="149"/>
      <x:c r="Q125" s="149"/>
      <x:c r="R125" s="149"/>
      <x:c r="S125" s="149"/>
    </x:row>
    <x:row r="126" ht="19" customHeight="1">
      <x:c r="A126" s="173" t="str">
        <x:v>3.1.9.1</x:v>
      </x:c>
      <x:c r="B126" s="173" t="str">
        <x:v>      Calculate task completion rate</x:v>
      </x:c>
      <x:c r="C126" s="174" t="str">
        <x:f>E126-D126+1&amp;IF(E126-D126+1=1," day"," days")</x:f>
        <x:v>2 days</x:v>
      </x:c>
      <x:c r="D126" s="147" t="n">
        <x:v>46223</x:v>
      </x:c>
      <x:c r="E126" s="147" t="n">
        <x:v>46224</x:v>
      </x:c>
      <x:c r="F126" s="149"/>
      <x:c r="G126" s="149"/>
      <x:c r="H126" s="149"/>
      <x:c r="I126" s="149"/>
      <x:c r="J126" s="149"/>
      <x:c r="K126" s="156"/>
      <x:c r="L126" s="149"/>
      <x:c r="M126" s="149"/>
      <x:c r="N126" s="149"/>
      <x:c r="O126" s="149"/>
      <x:c r="P126" s="149"/>
      <x:c r="Q126" s="149"/>
      <x:c r="R126" s="149"/>
      <x:c r="S126" s="149"/>
    </x:row>
    <x:row r="127" ht="19" customHeight="1">
      <x:c r="A127" s="173" t="str">
        <x:v>3.1.9.2</x:v>
      </x:c>
      <x:c r="B127" s="173" t="str">
        <x:v>      Calculate cognitive-game performance</x:v>
      </x:c>
      <x:c r="C127" s="174" t="str">
        <x:f>E127-D127+1&amp;IF(E127-D127+1=1," day"," days")</x:f>
        <x:v>2 days</x:v>
      </x:c>
      <x:c r="D127" s="147" t="n">
        <x:v>46225</x:v>
      </x:c>
      <x:c r="E127" s="147" t="n">
        <x:v>46226</x:v>
      </x:c>
      <x:c r="F127" s="149"/>
      <x:c r="G127" s="149"/>
      <x:c r="H127" s="149"/>
      <x:c r="I127" s="149"/>
      <x:c r="J127" s="149"/>
      <x:c r="K127" s="156"/>
      <x:c r="L127" s="149"/>
      <x:c r="M127" s="149"/>
      <x:c r="N127" s="149"/>
      <x:c r="O127" s="149"/>
      <x:c r="P127" s="149"/>
      <x:c r="Q127" s="149"/>
      <x:c r="R127" s="149"/>
      <x:c r="S127" s="149"/>
    </x:row>
    <x:row r="128" ht="19" customHeight="1">
      <x:c r="A128" s="173" t="str">
        <x:v>3.1.9.3</x:v>
      </x:c>
      <x:c r="B128" s="173" t="str">
        <x:v>      Calculate average hint usage</x:v>
      </x:c>
      <x:c r="C128" s="174" t="str">
        <x:f>E128-D128+1&amp;IF(E128-D128+1=1," day"," days")</x:f>
        <x:v>3 days</x:v>
      </x:c>
      <x:c r="D128" s="147" t="n">
        <x:v>46227</x:v>
      </x:c>
      <x:c r="E128" s="147" t="n">
        <x:v>46229</x:v>
      </x:c>
      <x:c r="F128" s="149"/>
      <x:c r="G128" s="149"/>
      <x:c r="H128" s="149"/>
      <x:c r="I128" s="149"/>
      <x:c r="J128" s="149"/>
      <x:c r="K128" s="156"/>
      <x:c r="L128" s="149"/>
      <x:c r="M128" s="149"/>
      <x:c r="N128" s="149"/>
      <x:c r="O128" s="149"/>
      <x:c r="P128" s="149"/>
      <x:c r="Q128" s="149"/>
      <x:c r="R128" s="149"/>
      <x:c r="S128" s="149"/>
    </x:row>
    <x:row r="129" ht="19" customHeight="1">
      <x:c r="A129" s="173" t="str">
        <x:v>3.1.9.4</x:v>
      </x:c>
      <x:c r="B129" s="173" t="str">
        <x:v>      Develop performance trend charts</x:v>
      </x:c>
      <x:c r="C129" s="174" t="str">
        <x:f>E129-D129+1&amp;IF(E129-D129+1=1," day"," days")</x:f>
        <x:v>2 days</x:v>
      </x:c>
      <x:c r="D129" s="147" t="n">
        <x:v>46230</x:v>
      </x:c>
      <x:c r="E129" s="147" t="n">
        <x:v>46231</x:v>
      </x:c>
      <x:c r="F129" s="149"/>
      <x:c r="G129" s="149"/>
      <x:c r="H129" s="149"/>
      <x:c r="I129" s="149"/>
      <x:c r="J129" s="149"/>
      <x:c r="K129" s="149"/>
      <x:c r="L129" s="156"/>
      <x:c r="M129" s="149"/>
      <x:c r="N129" s="149"/>
      <x:c r="O129" s="149"/>
      <x:c r="P129" s="149"/>
      <x:c r="Q129" s="149"/>
      <x:c r="R129" s="149"/>
      <x:c r="S129" s="149"/>
    </x:row>
    <x:row r="130" ht="19" customHeight="1">
      <x:c r="A130" s="173" t="str">
        <x:v>3.1.9.5</x:v>
      </x:c>
      <x:c r="B130" s="173" t="str">
        <x:v>      Develop cognitive-game rankings</x:v>
      </x:c>
      <x:c r="C130" s="174" t="str">
        <x:f>E130-D130+1&amp;IF(E130-D130+1=1," day"," days")</x:f>
        <x:v>2 days</x:v>
      </x:c>
      <x:c r="D130" s="147" t="n">
        <x:v>46232</x:v>
      </x:c>
      <x:c r="E130" s="147" t="n">
        <x:v>46233</x:v>
      </x:c>
      <x:c r="F130" s="149"/>
      <x:c r="G130" s="149"/>
      <x:c r="H130" s="149"/>
      <x:c r="I130" s="149"/>
      <x:c r="J130" s="149"/>
      <x:c r="K130" s="149"/>
      <x:c r="L130" s="156"/>
      <x:c r="M130" s="149"/>
      <x:c r="N130" s="149"/>
      <x:c r="O130" s="149"/>
      <x:c r="P130" s="149"/>
      <x:c r="Q130" s="149"/>
      <x:c r="R130" s="149"/>
      <x:c r="S130" s="149"/>
    </x:row>
    <x:row r="131" ht="19" customHeight="1">
      <x:c r="A131" s="173" t="str">
        <x:v>3.1.9.6</x:v>
      </x:c>
      <x:c r="B131" s="173" t="str">
        <x:v>      Develop completed-task category analysis</x:v>
      </x:c>
      <x:c r="C131" s="174" t="str">
        <x:f>E131-D131+1&amp;IF(E131-D131+1=1," day"," days")</x:f>
        <x:v>3 days</x:v>
      </x:c>
      <x:c r="D131" s="147" t="n">
        <x:v>46234</x:v>
      </x:c>
      <x:c r="E131" s="147" t="n">
        <x:v>46236</x:v>
      </x:c>
      <x:c r="F131" s="149"/>
      <x:c r="G131" s="149"/>
      <x:c r="H131" s="149"/>
      <x:c r="I131" s="149"/>
      <x:c r="J131" s="149"/>
      <x:c r="K131" s="149"/>
      <x:c r="L131" s="156"/>
      <x:c r="M131" s="149"/>
      <x:c r="N131" s="149"/>
      <x:c r="O131" s="149"/>
      <x:c r="P131" s="149"/>
      <x:c r="Q131" s="149"/>
      <x:c r="R131" s="149"/>
      <x:c r="S131" s="149"/>
    </x:row>
    <x:row r="132" ht="19" customHeight="1">
      <x:c r="A132" s="173" t="str">
        <x:v>3.1.9.7</x:v>
      </x:c>
      <x:c r="B132" s="173" t="str">
        <x:v>      Implement risk indicator</x:v>
      </x:c>
      <x:c r="C132" s="174" t="str">
        <x:f>E132-D132+1&amp;IF(E132-D132+1=1," day"," days")</x:f>
        <x:v>2 days</x:v>
      </x:c>
      <x:c r="D132" s="147" t="n">
        <x:v>46237</x:v>
      </x:c>
      <x:c r="E132" s="147" t="n">
        <x:v>46238</x:v>
      </x:c>
      <x:c r="F132" s="149"/>
      <x:c r="G132" s="149"/>
      <x:c r="H132" s="149"/>
      <x:c r="I132" s="149"/>
      <x:c r="J132" s="149"/>
      <x:c r="K132" s="149"/>
      <x:c r="L132" s="149"/>
      <x:c r="M132" s="156"/>
      <x:c r="N132" s="149"/>
      <x:c r="O132" s="149"/>
      <x:c r="P132" s="149"/>
      <x:c r="Q132" s="149"/>
      <x:c r="R132" s="149"/>
      <x:c r="S132" s="149"/>
    </x:row>
    <x:row r="133" ht="19" customHeight="1">
      <x:c r="A133" s="173" t="str">
        <x:v>3.1.9.8</x:v>
      </x:c>
      <x:c r="B133" s="173" t="str">
        <x:v>      Implement cognitive-decline risk signal</x:v>
      </x:c>
      <x:c r="C133" s="174" t="str">
        <x:f>E133-D133+1&amp;IF(E133-D133+1=1," day"," days")</x:f>
        <x:v>3 days</x:v>
      </x:c>
      <x:c r="D133" s="147" t="n">
        <x:v>46239</x:v>
      </x:c>
      <x:c r="E133" s="147" t="n">
        <x:v>46241</x:v>
      </x:c>
      <x:c r="F133" s="149"/>
      <x:c r="G133" s="149"/>
      <x:c r="H133" s="149"/>
      <x:c r="I133" s="149"/>
      <x:c r="J133" s="149"/>
      <x:c r="K133" s="149"/>
      <x:c r="L133" s="149"/>
      <x:c r="M133" s="156"/>
      <x:c r="N133" s="149"/>
      <x:c r="O133" s="149"/>
      <x:c r="P133" s="149"/>
      <x:c r="Q133" s="149"/>
      <x:c r="R133" s="149"/>
      <x:c r="S133" s="149"/>
    </x:row>
    <x:row r="134" ht="19" customHeight="1">
      <x:c r="A134" s="167" t="str">
        <x:v>3.1.10</x:v>
      </x:c>
      <x:c r="B134" s="167" t="str">
        <x:v>    Integrate and Refine Final Product</x:v>
      </x:c>
      <x:c r="C134" s="168" t="str">
        <x:f>E134-D134+1&amp;IF(E134-D134+1=1," day"," days")</x:f>
        <x:v>7 days</x:v>
      </x:c>
      <x:c r="D134" s="147" t="n">
        <x:v>46237</x:v>
      </x:c>
      <x:c r="E134" s="147" t="n">
        <x:v>46243</x:v>
      </x:c>
      <x:c r="F134" s="149"/>
      <x:c r="G134" s="149"/>
      <x:c r="H134" s="149"/>
      <x:c r="I134" s="149"/>
      <x:c r="J134" s="149"/>
      <x:c r="K134" s="149"/>
      <x:c r="L134" s="149"/>
      <x:c r="M134" s="156"/>
      <x:c r="N134" s="149"/>
      <x:c r="O134" s="149"/>
      <x:c r="P134" s="149"/>
      <x:c r="Q134" s="149"/>
      <x:c r="R134" s="149"/>
      <x:c r="S134" s="149"/>
    </x:row>
    <x:row r="135" ht="19" customHeight="1">
      <x:c r="A135" s="179" t="str">
        <x:v>4.0</x:v>
      </x:c>
      <x:c r="B135" s="179" t="str">
        <x:v>Testing phase</x:v>
      </x:c>
      <x:c r="C135" s="180" t="str">
        <x:f>E135-D135+1&amp;IF(E135-D135+1=1," day"," days")</x:f>
        <x:v>57 days</x:v>
      </x:c>
      <x:c r="D135" s="147" t="n">
        <x:v>46216</x:v>
      </x:c>
      <x:c r="E135" s="147" t="n">
        <x:v>46272</x:v>
      </x:c>
      <x:c r="F135" s="149"/>
      <x:c r="G135" s="149"/>
      <x:c r="H135" s="149"/>
      <x:c r="I135" s="149"/>
      <x:c r="J135" s="181"/>
      <x:c r="K135" s="181"/>
      <x:c r="L135" s="181"/>
      <x:c r="M135" s="181"/>
      <x:c r="N135" s="181"/>
      <x:c r="O135" s="181"/>
      <x:c r="P135" s="181"/>
      <x:c r="Q135" s="181"/>
      <x:c r="R135" s="181"/>
      <x:c r="S135" s="149"/>
    </x:row>
    <x:row r="136" ht="19" customHeight="1">
      <x:c r="A136" s="186" t="str">
        <x:v>4.1</x:v>
      </x:c>
      <x:c r="B136" s="186" t="str">
        <x:v>  Prepare Testing Documentation</x:v>
      </x:c>
      <x:c r="C136" s="187" t="str">
        <x:f>E136-D136+1&amp;IF(E136-D136+1=1," day"," days")</x:f>
        <x:v>5 days</x:v>
      </x:c>
      <x:c r="D136" s="147" t="n">
        <x:v>46216</x:v>
      </x:c>
      <x:c r="E136" s="147" t="n">
        <x:v>46220</x:v>
      </x:c>
      <x:c r="F136" s="149"/>
      <x:c r="G136" s="149"/>
      <x:c r="H136" s="149"/>
      <x:c r="I136" s="149"/>
      <x:c r="J136" s="181"/>
      <x:c r="K136" s="149"/>
      <x:c r="L136" s="149"/>
      <x:c r="M136" s="149"/>
      <x:c r="N136" s="149"/>
      <x:c r="O136" s="149"/>
      <x:c r="P136" s="149"/>
      <x:c r="Q136" s="149"/>
      <x:c r="R136" s="149"/>
      <x:c r="S136" s="149"/>
    </x:row>
    <x:row r="137" ht="19" customHeight="1">
      <x:c r="A137" s="192" t="str">
        <x:v>4.1.1</x:v>
      </x:c>
      <x:c r="B137" s="192" t="str">
        <x:v>    Identify test objectives</x:v>
      </x:c>
      <x:c r="C137" s="193" t="str">
        <x:f>E137-D137+1&amp;IF(E137-D137+1=1," day"," days")</x:f>
        <x:v>1 day</x:v>
      </x:c>
      <x:c r="D137" s="147" t="n">
        <x:v>46216</x:v>
      </x:c>
      <x:c r="E137" s="147" t="n">
        <x:v>46216</x:v>
      </x:c>
      <x:c r="F137" s="149"/>
      <x:c r="G137" s="149"/>
      <x:c r="H137" s="149"/>
      <x:c r="I137" s="149"/>
      <x:c r="J137" s="181"/>
      <x:c r="K137" s="149"/>
      <x:c r="L137" s="149"/>
      <x:c r="M137" s="149"/>
      <x:c r="N137" s="149"/>
      <x:c r="O137" s="149"/>
      <x:c r="P137" s="149"/>
      <x:c r="Q137" s="149"/>
      <x:c r="R137" s="149"/>
      <x:c r="S137" s="149"/>
    </x:row>
    <x:row r="138" ht="19" customHeight="1">
      <x:c r="A138" s="192" t="str">
        <x:v>4.1.2</x:v>
      </x:c>
      <x:c r="B138" s="192" t="str">
        <x:v>    Prepare test environment</x:v>
      </x:c>
      <x:c r="C138" s="193" t="str">
        <x:f>E138-D138+1&amp;IF(E138-D138+1=1," day"," days")</x:f>
        <x:v>1 day</x:v>
      </x:c>
      <x:c r="D138" s="147" t="n">
        <x:v>46217</x:v>
      </x:c>
      <x:c r="E138" s="147" t="n">
        <x:v>46217</x:v>
      </x:c>
      <x:c r="F138" s="149"/>
      <x:c r="G138" s="149"/>
      <x:c r="H138" s="149"/>
      <x:c r="I138" s="149"/>
      <x:c r="J138" s="181"/>
      <x:c r="K138" s="149"/>
      <x:c r="L138" s="149"/>
      <x:c r="M138" s="149"/>
      <x:c r="N138" s="149"/>
      <x:c r="O138" s="149"/>
      <x:c r="P138" s="149"/>
      <x:c r="Q138" s="149"/>
      <x:c r="R138" s="149"/>
      <x:c r="S138" s="149"/>
    </x:row>
    <x:row r="139" ht="19" customHeight="1">
      <x:c r="A139" s="192" t="str">
        <x:v>4.1.3</x:v>
      </x:c>
      <x:c r="B139" s="192" t="str">
        <x:v>    Prepare test accounts and data</x:v>
      </x:c>
      <x:c r="C139" s="193" t="str">
        <x:f>E139-D139+1&amp;IF(E139-D139+1=1," day"," days")</x:f>
        <x:v>1 day</x:v>
      </x:c>
      <x:c r="D139" s="147" t="n">
        <x:v>46218</x:v>
      </x:c>
      <x:c r="E139" s="147" t="n">
        <x:v>46218</x:v>
      </x:c>
      <x:c r="F139" s="149"/>
      <x:c r="G139" s="149"/>
      <x:c r="H139" s="149"/>
      <x:c r="I139" s="149"/>
      <x:c r="J139" s="181"/>
      <x:c r="K139" s="149"/>
      <x:c r="L139" s="149"/>
      <x:c r="M139" s="149"/>
      <x:c r="N139" s="149"/>
      <x:c r="O139" s="149"/>
      <x:c r="P139" s="149"/>
      <x:c r="Q139" s="149"/>
      <x:c r="R139" s="149"/>
      <x:c r="S139" s="149"/>
    </x:row>
    <x:row r="140" ht="19" customHeight="1">
      <x:c r="A140" s="192" t="str">
        <x:v>4.1.4</x:v>
      </x:c>
      <x:c r="B140" s="192" t="str">
        <x:v>    Map test cases to functional requirements</x:v>
      </x:c>
      <x:c r="C140" s="193" t="str">
        <x:f>E140-D140+1&amp;IF(E140-D140+1=1," day"," days")</x:f>
        <x:v>1 day</x:v>
      </x:c>
      <x:c r="D140" s="147" t="n">
        <x:v>46219</x:v>
      </x:c>
      <x:c r="E140" s="147" t="n">
        <x:v>46219</x:v>
      </x:c>
      <x:c r="F140" s="149"/>
      <x:c r="G140" s="149"/>
      <x:c r="H140" s="149"/>
      <x:c r="I140" s="149"/>
      <x:c r="J140" s="181"/>
      <x:c r="K140" s="149"/>
      <x:c r="L140" s="149"/>
      <x:c r="M140" s="149"/>
      <x:c r="N140" s="149"/>
      <x:c r="O140" s="149"/>
      <x:c r="P140" s="149"/>
      <x:c r="Q140" s="149"/>
      <x:c r="R140" s="149"/>
      <x:c r="S140" s="149"/>
    </x:row>
    <x:row r="141" ht="19" customHeight="1">
      <x:c r="A141" s="192" t="str">
        <x:v>4.1.5</x:v>
      </x:c>
      <x:c r="B141" s="192" t="str">
        <x:v>    Define expected test results</x:v>
      </x:c>
      <x:c r="C141" s="193" t="str">
        <x:f>E141-D141+1&amp;IF(E141-D141+1=1," day"," days")</x:f>
        <x:v>1 day</x:v>
      </x:c>
      <x:c r="D141" s="147" t="n">
        <x:v>46220</x:v>
      </x:c>
      <x:c r="E141" s="147" t="n">
        <x:v>46220</x:v>
      </x:c>
      <x:c r="F141" s="149"/>
      <x:c r="G141" s="149"/>
      <x:c r="H141" s="149"/>
      <x:c r="I141" s="149"/>
      <x:c r="J141" s="181"/>
      <x:c r="K141" s="149"/>
      <x:c r="L141" s="149"/>
      <x:c r="M141" s="149"/>
      <x:c r="N141" s="149"/>
      <x:c r="O141" s="149"/>
      <x:c r="P141" s="149"/>
      <x:c r="Q141" s="149"/>
      <x:c r="R141" s="149"/>
      <x:c r="S141" s="149"/>
    </x:row>
    <x:row r="142" ht="19" customHeight="1">
      <x:c r="A142" s="186" t="str">
        <x:v>4.2</x:v>
      </x:c>
      <x:c r="B142" s="186" t="str">
        <x:v>  Unit testing</x:v>
      </x:c>
      <x:c r="C142" s="187" t="str">
        <x:f>E142-D142+1&amp;IF(E142-D142+1=1," day"," days")</x:f>
        <x:v>12 days</x:v>
      </x:c>
      <x:c r="D142" s="147" t="n">
        <x:v>46223</x:v>
      </x:c>
      <x:c r="E142" s="147" t="n">
        <x:v>46234</x:v>
      </x:c>
      <x:c r="F142" s="149"/>
      <x:c r="G142" s="149"/>
      <x:c r="H142" s="149"/>
      <x:c r="I142" s="149"/>
      <x:c r="J142" s="149"/>
      <x:c r="K142" s="181"/>
      <x:c r="L142" s="181"/>
      <x:c r="M142" s="149"/>
      <x:c r="N142" s="149"/>
      <x:c r="O142" s="149"/>
      <x:c r="P142" s="149"/>
      <x:c r="Q142" s="149"/>
      <x:c r="R142" s="149"/>
      <x:c r="S142" s="149"/>
    </x:row>
    <x:row r="143" ht="19" customHeight="1">
      <x:c r="A143" s="192" t="str">
        <x:v>4.2.1</x:v>
      </x:c>
      <x:c r="B143" s="192" t="str">
        <x:v>    authentication and role access</x:v>
      </x:c>
      <x:c r="C143" s="193" t="str">
        <x:f>E143-D143+1&amp;IF(E143-D143+1=1," day"," days")</x:f>
        <x:v>1 day</x:v>
      </x:c>
      <x:c r="D143" s="147" t="n">
        <x:v>46223</x:v>
      </x:c>
      <x:c r="E143" s="147" t="n">
        <x:v>46223</x:v>
      </x:c>
      <x:c r="F143" s="149"/>
      <x:c r="G143" s="149"/>
      <x:c r="H143" s="149"/>
      <x:c r="I143" s="149"/>
      <x:c r="J143" s="149"/>
      <x:c r="K143" s="181"/>
      <x:c r="L143" s="149"/>
      <x:c r="M143" s="149"/>
      <x:c r="N143" s="149"/>
      <x:c r="O143" s="149"/>
      <x:c r="P143" s="149"/>
      <x:c r="Q143" s="149"/>
      <x:c r="R143" s="149"/>
      <x:c r="S143" s="149"/>
    </x:row>
    <x:row r="144" ht="19" customHeight="1">
      <x:c r="A144" s="192" t="str">
        <x:v>4.2.2</x:v>
      </x:c>
      <x:c r="B144" s="192" t="str">
        <x:v>    patient management functions</x:v>
      </x:c>
      <x:c r="C144" s="193" t="str">
        <x:f>E144-D144+1&amp;IF(E144-D144+1=1," day"," days")</x:f>
        <x:v>1 day</x:v>
      </x:c>
      <x:c r="D144" s="147" t="n">
        <x:v>46224</x:v>
      </x:c>
      <x:c r="E144" s="147" t="n">
        <x:v>46224</x:v>
      </x:c>
      <x:c r="F144" s="149"/>
      <x:c r="G144" s="149"/>
      <x:c r="H144" s="149"/>
      <x:c r="I144" s="149"/>
      <x:c r="J144" s="149"/>
      <x:c r="K144" s="181"/>
      <x:c r="L144" s="149"/>
      <x:c r="M144" s="149"/>
      <x:c r="N144" s="149"/>
      <x:c r="O144" s="149"/>
      <x:c r="P144" s="149"/>
      <x:c r="Q144" s="149"/>
      <x:c r="R144" s="149"/>
      <x:c r="S144" s="149"/>
    </x:row>
    <x:row r="145" ht="19" customHeight="1">
      <x:c r="A145" s="192" t="str">
        <x:v>4.2.3</x:v>
      </x:c>
      <x:c r="B145" s="192" t="str">
        <x:v>    task and medication functions</x:v>
      </x:c>
      <x:c r="C145" s="193" t="str">
        <x:f>E145-D145+1&amp;IF(E145-D145+1=1," day"," days")</x:f>
        <x:v>2 days</x:v>
      </x:c>
      <x:c r="D145" s="147" t="n">
        <x:v>46225</x:v>
      </x:c>
      <x:c r="E145" s="147" t="n">
        <x:v>46226</x:v>
      </x:c>
      <x:c r="F145" s="149"/>
      <x:c r="G145" s="149"/>
      <x:c r="H145" s="149"/>
      <x:c r="I145" s="149"/>
      <x:c r="J145" s="149"/>
      <x:c r="K145" s="181"/>
      <x:c r="L145" s="149"/>
      <x:c r="M145" s="149"/>
      <x:c r="N145" s="149"/>
      <x:c r="O145" s="149"/>
      <x:c r="P145" s="149"/>
      <x:c r="Q145" s="149"/>
      <x:c r="R145" s="149"/>
      <x:c r="S145" s="149"/>
    </x:row>
    <x:row r="146" ht="19" customHeight="1">
      <x:c r="A146" s="192" t="str">
        <x:v>4.2.4</x:v>
      </x:c>
      <x:c r="B146" s="192" t="str">
        <x:v>    recurrence calculations</x:v>
      </x:c>
      <x:c r="C146" s="193" t="str">
        <x:f>E146-D146+1&amp;IF(E146-D146+1=1," day"," days")</x:f>
        <x:v>1 day</x:v>
      </x:c>
      <x:c r="D146" s="147" t="n">
        <x:v>46227</x:v>
      </x:c>
      <x:c r="E146" s="147" t="n">
        <x:v>46227</x:v>
      </x:c>
      <x:c r="F146" s="149"/>
      <x:c r="G146" s="149"/>
      <x:c r="H146" s="149"/>
      <x:c r="I146" s="149"/>
      <x:c r="J146" s="149"/>
      <x:c r="K146" s="181"/>
      <x:c r="L146" s="149"/>
      <x:c r="M146" s="149"/>
      <x:c r="N146" s="149"/>
      <x:c r="O146" s="149"/>
      <x:c r="P146" s="149"/>
      <x:c r="Q146" s="149"/>
      <x:c r="R146" s="149"/>
      <x:c r="S146" s="149"/>
    </x:row>
    <x:row r="147" ht="19" customHeight="1">
      <x:c r="A147" s="192" t="str">
        <x:v>4.2.5</x:v>
      </x:c>
      <x:c r="B147" s="192" t="str">
        <x:v>    cognitive game calculations</x:v>
      </x:c>
      <x:c r="C147" s="193" t="str">
        <x:f>E147-D147+1&amp;IF(E147-D147+1=1," day"," days")</x:f>
        <x:v>1 day</x:v>
      </x:c>
      <x:c r="D147" s="147" t="n">
        <x:v>46228</x:v>
      </x:c>
      <x:c r="E147" s="147" t="n">
        <x:v>46228</x:v>
      </x:c>
      <x:c r="F147" s="149"/>
      <x:c r="G147" s="149"/>
      <x:c r="H147" s="149"/>
      <x:c r="I147" s="149"/>
      <x:c r="J147" s="149"/>
      <x:c r="K147" s="181"/>
      <x:c r="L147" s="149"/>
      <x:c r="M147" s="149"/>
      <x:c r="N147" s="149"/>
      <x:c r="O147" s="149"/>
      <x:c r="P147" s="149"/>
      <x:c r="Q147" s="149"/>
      <x:c r="R147" s="149"/>
      <x:c r="S147" s="149"/>
    </x:row>
    <x:row r="148" ht="19" customHeight="1">
      <x:c r="A148" s="192" t="str">
        <x:v>4.2.6</x:v>
      </x:c>
      <x:c r="B148" s="192" t="str">
        <x:v>    adaptive difficulty rules</x:v>
      </x:c>
      <x:c r="C148" s="193" t="str">
        <x:f>E148-D148+1&amp;IF(E148-D148+1=1," day"," days")</x:f>
        <x:v>2 days</x:v>
      </x:c>
      <x:c r="D148" s="147" t="n">
        <x:v>46229</x:v>
      </x:c>
      <x:c r="E148" s="147" t="n">
        <x:v>46230</x:v>
      </x:c>
      <x:c r="F148" s="149"/>
      <x:c r="G148" s="149"/>
      <x:c r="H148" s="149"/>
      <x:c r="I148" s="149"/>
      <x:c r="J148" s="149"/>
      <x:c r="K148" s="181"/>
      <x:c r="L148" s="181"/>
      <x:c r="M148" s="149"/>
      <x:c r="N148" s="149"/>
      <x:c r="O148" s="149"/>
      <x:c r="P148" s="149"/>
      <x:c r="Q148" s="149"/>
      <x:c r="R148" s="149"/>
      <x:c r="S148" s="149"/>
    </x:row>
    <x:row r="149" ht="19" customHeight="1">
      <x:c r="A149" s="192" t="str">
        <x:v>4.2.7</x:v>
      </x:c>
      <x:c r="B149" s="192" t="str">
        <x:v>    gamification calculations</x:v>
      </x:c>
      <x:c r="C149" s="193" t="str">
        <x:f>E149-D149+1&amp;IF(E149-D149+1=1," day"," days")</x:f>
        <x:v>1 day</x:v>
      </x:c>
      <x:c r="D149" s="147" t="n">
        <x:v>46231</x:v>
      </x:c>
      <x:c r="E149" s="147" t="n">
        <x:v>46231</x:v>
      </x:c>
      <x:c r="F149" s="149"/>
      <x:c r="G149" s="149"/>
      <x:c r="H149" s="149"/>
      <x:c r="I149" s="149"/>
      <x:c r="J149" s="149"/>
      <x:c r="K149" s="149"/>
      <x:c r="L149" s="181"/>
      <x:c r="M149" s="149"/>
      <x:c r="N149" s="149"/>
      <x:c r="O149" s="149"/>
      <x:c r="P149" s="149"/>
      <x:c r="Q149" s="149"/>
      <x:c r="R149" s="149"/>
      <x:c r="S149" s="149"/>
    </x:row>
    <x:row r="150" ht="19" customHeight="1">
      <x:c r="A150" s="192" t="str">
        <x:v>4.2.8</x:v>
      </x:c>
      <x:c r="B150" s="192" t="str">
        <x:v>    risk evaluation logic</x:v>
      </x:c>
      <x:c r="C150" s="193" t="str">
        <x:f>E150-D150+1&amp;IF(E150-D150+1=1," day"," days")</x:f>
        <x:v>1 day</x:v>
      </x:c>
      <x:c r="D150" s="147" t="n">
        <x:v>46232</x:v>
      </x:c>
      <x:c r="E150" s="147" t="n">
        <x:v>46232</x:v>
      </x:c>
      <x:c r="F150" s="149"/>
      <x:c r="G150" s="149"/>
      <x:c r="H150" s="149"/>
      <x:c r="I150" s="149"/>
      <x:c r="J150" s="149"/>
      <x:c r="K150" s="149"/>
      <x:c r="L150" s="181"/>
      <x:c r="M150" s="149"/>
      <x:c r="N150" s="149"/>
      <x:c r="O150" s="149"/>
      <x:c r="P150" s="149"/>
      <x:c r="Q150" s="149"/>
      <x:c r="R150" s="149"/>
      <x:c r="S150" s="149"/>
    </x:row>
    <x:row r="151" ht="19" customHeight="1">
      <x:c r="A151" s="192" t="str">
        <x:v>4.2.9</x:v>
      </x:c>
      <x:c r="B151" s="192" t="str">
        <x:v>    unit testing results</x:v>
      </x:c>
      <x:c r="C151" s="193" t="str">
        <x:f>E151-D151+1&amp;IF(E151-D151+1=1," day"," days")</x:f>
        <x:v>2 days</x:v>
      </x:c>
      <x:c r="D151" s="147" t="n">
        <x:v>46233</x:v>
      </x:c>
      <x:c r="E151" s="147" t="n">
        <x:v>46234</x:v>
      </x:c>
      <x:c r="F151" s="149"/>
      <x:c r="G151" s="149"/>
      <x:c r="H151" s="149"/>
      <x:c r="I151" s="149"/>
      <x:c r="J151" s="149"/>
      <x:c r="K151" s="149"/>
      <x:c r="L151" s="181"/>
      <x:c r="M151" s="149"/>
      <x:c r="N151" s="149"/>
      <x:c r="O151" s="149"/>
      <x:c r="P151" s="149"/>
      <x:c r="Q151" s="149"/>
      <x:c r="R151" s="149"/>
      <x:c r="S151" s="149"/>
    </x:row>
    <x:row r="152" ht="19" customHeight="1">
      <x:c r="A152" s="186" t="str">
        <x:v>4.3</x:v>
      </x:c>
      <x:c r="B152" s="186" t="str">
        <x:v>  Integration Testing</x:v>
      </x:c>
      <x:c r="C152" s="187" t="str">
        <x:f>E152-D152+1&amp;IF(E152-D152+1=1," day"," days")</x:f>
        <x:v>12 days</x:v>
      </x:c>
      <x:c r="D152" s="147" t="n">
        <x:v>46237</x:v>
      </x:c>
      <x:c r="E152" s="147" t="n">
        <x:v>46248</x:v>
      </x:c>
      <x:c r="F152" s="149"/>
      <x:c r="G152" s="149"/>
      <x:c r="H152" s="149"/>
      <x:c r="I152" s="149"/>
      <x:c r="J152" s="149"/>
      <x:c r="K152" s="149"/>
      <x:c r="L152" s="149"/>
      <x:c r="M152" s="181"/>
      <x:c r="N152" s="181"/>
      <x:c r="O152" s="149"/>
      <x:c r="P152" s="149"/>
      <x:c r="Q152" s="149"/>
      <x:c r="R152" s="149"/>
      <x:c r="S152" s="149"/>
    </x:row>
    <x:row r="153" ht="19" customHeight="1">
      <x:c r="A153" s="192" t="str">
        <x:v>4.3.1</x:v>
      </x:c>
      <x:c r="B153" s="192" t="str">
        <x:v>    authentication and role navigation integration</x:v>
      </x:c>
      <x:c r="C153" s="193" t="str">
        <x:f>E153-D153+1&amp;IF(E153-D153+1=1," day"," days")</x:f>
        <x:v>1 day</x:v>
      </x:c>
      <x:c r="D153" s="147" t="n">
        <x:v>46237</x:v>
      </x:c>
      <x:c r="E153" s="147" t="n">
        <x:v>46237</x:v>
      </x:c>
      <x:c r="F153" s="149"/>
      <x:c r="G153" s="149"/>
      <x:c r="H153" s="149"/>
      <x:c r="I153" s="149"/>
      <x:c r="J153" s="149"/>
      <x:c r="K153" s="149"/>
      <x:c r="L153" s="149"/>
      <x:c r="M153" s="181"/>
      <x:c r="N153" s="149"/>
      <x:c r="O153" s="149"/>
      <x:c r="P153" s="149"/>
      <x:c r="Q153" s="149"/>
      <x:c r="R153" s="149"/>
      <x:c r="S153" s="149"/>
    </x:row>
    <x:row r="154" ht="19" customHeight="1">
      <x:c r="A154" s="192" t="str">
        <x:v>4.3.2</x:v>
      </x:c>
      <x:c r="B154" s="192" t="str">
        <x:v>    caregiver and patient account integration</x:v>
      </x:c>
      <x:c r="C154" s="193" t="str">
        <x:f>E154-D154+1&amp;IF(E154-D154+1=1," day"," days")</x:f>
        <x:v>1 day</x:v>
      </x:c>
      <x:c r="D154" s="147" t="n">
        <x:v>46238</x:v>
      </x:c>
      <x:c r="E154" s="147" t="n">
        <x:v>46238</x:v>
      </x:c>
      <x:c r="F154" s="149"/>
      <x:c r="G154" s="149"/>
      <x:c r="H154" s="149"/>
      <x:c r="I154" s="149"/>
      <x:c r="J154" s="149"/>
      <x:c r="K154" s="149"/>
      <x:c r="L154" s="149"/>
      <x:c r="M154" s="181"/>
      <x:c r="N154" s="149"/>
      <x:c r="O154" s="149"/>
      <x:c r="P154" s="149"/>
      <x:c r="Q154" s="149"/>
      <x:c r="R154" s="149"/>
      <x:c r="S154" s="149"/>
    </x:row>
    <x:row r="155" ht="19" customHeight="1">
      <x:c r="A155" s="192" t="str">
        <x:v>4.3.3</x:v>
      </x:c>
      <x:c r="B155" s="192" t="str">
        <x:v>    task assignment and dashboard integration</x:v>
      </x:c>
      <x:c r="C155" s="193" t="str">
        <x:f>E155-D155+1&amp;IF(E155-D155+1=1," day"," days")</x:f>
        <x:v>2 days</x:v>
      </x:c>
      <x:c r="D155" s="147" t="n">
        <x:v>46239</x:v>
      </x:c>
      <x:c r="E155" s="147" t="n">
        <x:v>46240</x:v>
      </x:c>
      <x:c r="F155" s="149"/>
      <x:c r="G155" s="149"/>
      <x:c r="H155" s="149"/>
      <x:c r="I155" s="149"/>
      <x:c r="J155" s="149"/>
      <x:c r="K155" s="149"/>
      <x:c r="L155" s="149"/>
      <x:c r="M155" s="181"/>
      <x:c r="N155" s="149"/>
      <x:c r="O155" s="149"/>
      <x:c r="P155" s="149"/>
      <x:c r="Q155" s="149"/>
      <x:c r="R155" s="149"/>
      <x:c r="S155" s="149"/>
    </x:row>
    <x:row r="156" ht="19" customHeight="1">
      <x:c r="A156" s="192" t="str">
        <x:v>4.3.4</x:v>
      </x:c>
      <x:c r="B156" s="192" t="str">
        <x:v>    recurring tasks and notification integration</x:v>
      </x:c>
      <x:c r="C156" s="193" t="str">
        <x:f>E156-D156+1&amp;IF(E156-D156+1=1," day"," days")</x:f>
        <x:v>1 day</x:v>
      </x:c>
      <x:c r="D156" s="147" t="n">
        <x:v>46241</x:v>
      </x:c>
      <x:c r="E156" s="147" t="n">
        <x:v>46241</x:v>
      </x:c>
      <x:c r="F156" s="149"/>
      <x:c r="G156" s="149"/>
      <x:c r="H156" s="149"/>
      <x:c r="I156" s="149"/>
      <x:c r="J156" s="149"/>
      <x:c r="K156" s="149"/>
      <x:c r="L156" s="149"/>
      <x:c r="M156" s="181"/>
      <x:c r="N156" s="149"/>
      <x:c r="O156" s="149"/>
      <x:c r="P156" s="149"/>
      <x:c r="Q156" s="149"/>
      <x:c r="R156" s="149"/>
      <x:c r="S156" s="149"/>
    </x:row>
    <x:row r="157" ht="19" customHeight="1">
      <x:c r="A157" s="192" t="str">
        <x:v>4.3.5</x:v>
      </x:c>
      <x:c r="B157" s="192" t="str">
        <x:v>    task responses and progress updates</x:v>
      </x:c>
      <x:c r="C157" s="193" t="str">
        <x:f>E157-D157+1&amp;IF(E157-D157+1=1," day"," days")</x:f>
        <x:v>1 day</x:v>
      </x:c>
      <x:c r="D157" s="147" t="n">
        <x:v>46242</x:v>
      </x:c>
      <x:c r="E157" s="147" t="n">
        <x:v>46242</x:v>
      </x:c>
      <x:c r="F157" s="149"/>
      <x:c r="G157" s="149"/>
      <x:c r="H157" s="149"/>
      <x:c r="I157" s="149"/>
      <x:c r="J157" s="149"/>
      <x:c r="K157" s="149"/>
      <x:c r="L157" s="149"/>
      <x:c r="M157" s="181"/>
      <x:c r="N157" s="149"/>
      <x:c r="O157" s="149"/>
      <x:c r="P157" s="149"/>
      <x:c r="Q157" s="149"/>
      <x:c r="R157" s="149"/>
      <x:c r="S157" s="149"/>
    </x:row>
    <x:row r="158" ht="19" customHeight="1">
      <x:c r="A158" s="192" t="str">
        <x:v>4.3.6</x:v>
      </x:c>
      <x:c r="B158" s="192" t="str">
        <x:v>    game sessions and adaptive difficulty integration</x:v>
      </x:c>
      <x:c r="C158" s="193" t="str">
        <x:f>E158-D158+1&amp;IF(E158-D158+1=1," day"," days")</x:f>
        <x:v>2 days</x:v>
      </x:c>
      <x:c r="D158" s="147" t="n">
        <x:v>46243</x:v>
      </x:c>
      <x:c r="E158" s="147" t="n">
        <x:v>46244</x:v>
      </x:c>
      <x:c r="F158" s="149"/>
      <x:c r="G158" s="149"/>
      <x:c r="H158" s="149"/>
      <x:c r="I158" s="149"/>
      <x:c r="J158" s="149"/>
      <x:c r="K158" s="149"/>
      <x:c r="L158" s="149"/>
      <x:c r="M158" s="181"/>
      <x:c r="N158" s="181"/>
      <x:c r="O158" s="149"/>
      <x:c r="P158" s="149"/>
      <x:c r="Q158" s="149"/>
      <x:c r="R158" s="149"/>
      <x:c r="S158" s="149"/>
    </x:row>
    <x:row r="159" ht="19" customHeight="1">
      <x:c r="A159" s="192" t="str">
        <x:v>4.3.7</x:v>
      </x:c>
      <x:c r="B159" s="192" t="str">
        <x:v>    points and reward game integration</x:v>
      </x:c>
      <x:c r="C159" s="193" t="str">
        <x:f>E159-D159+1&amp;IF(E159-D159+1=1," day"," days")</x:f>
        <x:v>1 day</x:v>
      </x:c>
      <x:c r="D159" s="147" t="n">
        <x:v>46245</x:v>
      </x:c>
      <x:c r="E159" s="147" t="n">
        <x:v>46245</x:v>
      </x:c>
      <x:c r="F159" s="149"/>
      <x:c r="G159" s="149"/>
      <x:c r="H159" s="149"/>
      <x:c r="I159" s="149"/>
      <x:c r="J159" s="149"/>
      <x:c r="K159" s="149"/>
      <x:c r="L159" s="149"/>
      <x:c r="M159" s="149"/>
      <x:c r="N159" s="181"/>
      <x:c r="O159" s="149"/>
      <x:c r="P159" s="149"/>
      <x:c r="Q159" s="149"/>
      <x:c r="R159" s="149"/>
      <x:c r="S159" s="149"/>
    </x:row>
    <x:row r="160" ht="19" customHeight="1">
      <x:c r="A160" s="192" t="str">
        <x:v>4.3.8</x:v>
      </x:c>
      <x:c r="B160" s="192" t="str">
        <x:v>    risk indicator integration</x:v>
      </x:c>
      <x:c r="C160" s="193" t="str">
        <x:f>E160-D160+1&amp;IF(E160-D160+1=1," day"," days")</x:f>
        <x:v>1 day</x:v>
      </x:c>
      <x:c r="D160" s="147" t="n">
        <x:v>46246</x:v>
      </x:c>
      <x:c r="E160" s="147" t="n">
        <x:v>46246</x:v>
      </x:c>
      <x:c r="F160" s="149"/>
      <x:c r="G160" s="149"/>
      <x:c r="H160" s="149"/>
      <x:c r="I160" s="149"/>
      <x:c r="J160" s="149"/>
      <x:c r="K160" s="149"/>
      <x:c r="L160" s="149"/>
      <x:c r="M160" s="149"/>
      <x:c r="N160" s="181"/>
      <x:c r="O160" s="149"/>
      <x:c r="P160" s="149"/>
      <x:c r="Q160" s="149"/>
      <x:c r="R160" s="149"/>
      <x:c r="S160" s="149"/>
    </x:row>
    <x:row r="161" ht="19" customHeight="1">
      <x:c r="A161" s="192" t="str">
        <x:v>4.3.9</x:v>
      </x:c>
      <x:c r="B161" s="192" t="str">
        <x:v>    Record integration testing results</x:v>
      </x:c>
      <x:c r="C161" s="193" t="str">
        <x:f>E161-D161+1&amp;IF(E161-D161+1=1," day"," days")</x:f>
        <x:v>2 days</x:v>
      </x:c>
      <x:c r="D161" s="147" t="n">
        <x:v>46247</x:v>
      </x:c>
      <x:c r="E161" s="147" t="n">
        <x:v>46248</x:v>
      </x:c>
      <x:c r="F161" s="149"/>
      <x:c r="G161" s="149"/>
      <x:c r="H161" s="149"/>
      <x:c r="I161" s="149"/>
      <x:c r="J161" s="149"/>
      <x:c r="K161" s="149"/>
      <x:c r="L161" s="149"/>
      <x:c r="M161" s="149"/>
      <x:c r="N161" s="181"/>
      <x:c r="O161" s="149"/>
      <x:c r="P161" s="149"/>
      <x:c r="Q161" s="149"/>
      <x:c r="R161" s="149"/>
      <x:c r="S161" s="149"/>
    </x:row>
    <x:row r="162" ht="19" customHeight="1">
      <x:c r="A162" s="186" t="str">
        <x:v>4.4</x:v>
      </x:c>
      <x:c r="B162" s="186" t="str">
        <x:v>  System testing</x:v>
      </x:c>
      <x:c r="C162" s="187" t="str">
        <x:f>E162-D162+1&amp;IF(E162-D162+1=1," day"," days")</x:f>
        <x:v>12 days</x:v>
      </x:c>
      <x:c r="D162" s="147" t="n">
        <x:v>46244</x:v>
      </x:c>
      <x:c r="E162" s="147" t="n">
        <x:v>46255</x:v>
      </x:c>
      <x:c r="F162" s="149"/>
      <x:c r="G162" s="149"/>
      <x:c r="H162" s="149"/>
      <x:c r="I162" s="149"/>
      <x:c r="J162" s="149"/>
      <x:c r="K162" s="149"/>
      <x:c r="L162" s="149"/>
      <x:c r="M162" s="149"/>
      <x:c r="N162" s="181"/>
      <x:c r="O162" s="181"/>
      <x:c r="P162" s="149"/>
      <x:c r="Q162" s="149"/>
      <x:c r="R162" s="149"/>
      <x:c r="S162" s="149"/>
    </x:row>
    <x:row r="163" ht="19" customHeight="1">
      <x:c r="A163" s="192" t="str">
        <x:v>4.4.1</x:v>
      </x:c>
      <x:c r="B163" s="192" t="str">
        <x:v>    complete caregiver workflow</x:v>
      </x:c>
      <x:c r="C163" s="193" t="str">
        <x:f>E163-D163+1&amp;IF(E163-D163+1=1," day"," days")</x:f>
        <x:v>1 day</x:v>
      </x:c>
      <x:c r="D163" s="147" t="n">
        <x:v>46244</x:v>
      </x:c>
      <x:c r="E163" s="147" t="n">
        <x:v>46244</x:v>
      </x:c>
      <x:c r="F163" s="149"/>
      <x:c r="G163" s="149"/>
      <x:c r="H163" s="149"/>
      <x:c r="I163" s="149"/>
      <x:c r="J163" s="149"/>
      <x:c r="K163" s="149"/>
      <x:c r="L163" s="149"/>
      <x:c r="M163" s="149"/>
      <x:c r="N163" s="181"/>
      <x:c r="O163" s="149"/>
      <x:c r="P163" s="149"/>
      <x:c r="Q163" s="149"/>
      <x:c r="R163" s="149"/>
      <x:c r="S163" s="149"/>
    </x:row>
    <x:row r="164" ht="19" customHeight="1">
      <x:c r="A164" s="192" t="str">
        <x:v>4.4.2</x:v>
      </x:c>
      <x:c r="B164" s="192" t="str">
        <x:v>    complete patient workflow</x:v>
      </x:c>
      <x:c r="C164" s="193" t="str">
        <x:f>E164-D164+1&amp;IF(E164-D164+1=1," day"," days")</x:f>
        <x:v>2 days</x:v>
      </x:c>
      <x:c r="D164" s="147" t="n">
        <x:v>46245</x:v>
      </x:c>
      <x:c r="E164" s="147" t="n">
        <x:v>46246</x:v>
      </x:c>
      <x:c r="F164" s="149"/>
      <x:c r="G164" s="149"/>
      <x:c r="H164" s="149"/>
      <x:c r="I164" s="149"/>
      <x:c r="J164" s="149"/>
      <x:c r="K164" s="149"/>
      <x:c r="L164" s="149"/>
      <x:c r="M164" s="149"/>
      <x:c r="N164" s="181"/>
      <x:c r="O164" s="149"/>
      <x:c r="P164" s="149"/>
      <x:c r="Q164" s="149"/>
      <x:c r="R164" s="149"/>
      <x:c r="S164" s="149"/>
    </x:row>
    <x:row r="165" ht="19" customHeight="1">
      <x:c r="A165" s="192" t="str">
        <x:v>4.4.3</x:v>
      </x:c>
      <x:c r="B165" s="192" t="str">
        <x:v>    task and medication lifecycle</x:v>
      </x:c>
      <x:c r="C165" s="193" t="str">
        <x:f>E165-D165+1&amp;IF(E165-D165+1=1," day"," days")</x:f>
        <x:v>2 days</x:v>
      </x:c>
      <x:c r="D165" s="147" t="n">
        <x:v>46247</x:v>
      </x:c>
      <x:c r="E165" s="147" t="n">
        <x:v>46248</x:v>
      </x:c>
      <x:c r="F165" s="149"/>
      <x:c r="G165" s="149"/>
      <x:c r="H165" s="149"/>
      <x:c r="I165" s="149"/>
      <x:c r="J165" s="149"/>
      <x:c r="K165" s="149"/>
      <x:c r="L165" s="149"/>
      <x:c r="M165" s="149"/>
      <x:c r="N165" s="181"/>
      <x:c r="O165" s="149"/>
      <x:c r="P165" s="149"/>
      <x:c r="Q165" s="149"/>
      <x:c r="R165" s="149"/>
      <x:c r="S165" s="149"/>
    </x:row>
    <x:row r="166" ht="19" customHeight="1">
      <x:c r="A166" s="192" t="str">
        <x:v>4.4.4</x:v>
      </x:c>
      <x:c r="B166" s="192" t="str">
        <x:v>    recurring reminder behaviour</x:v>
      </x:c>
      <x:c r="C166" s="193" t="str">
        <x:f>E166-D166+1&amp;IF(E166-D166+1=1," day"," days")</x:f>
        <x:v>1 day</x:v>
      </x:c>
      <x:c r="D166" s="147" t="n">
        <x:v>46249</x:v>
      </x:c>
      <x:c r="E166" s="147" t="n">
        <x:v>46249</x:v>
      </x:c>
      <x:c r="F166" s="149"/>
      <x:c r="G166" s="149"/>
      <x:c r="H166" s="149"/>
      <x:c r="I166" s="149"/>
      <x:c r="J166" s="149"/>
      <x:c r="K166" s="149"/>
      <x:c r="L166" s="149"/>
      <x:c r="M166" s="149"/>
      <x:c r="N166" s="181"/>
      <x:c r="O166" s="149"/>
      <x:c r="P166" s="149"/>
      <x:c r="Q166" s="149"/>
      <x:c r="R166" s="149"/>
      <x:c r="S166" s="149"/>
    </x:row>
    <x:row r="167" ht="19" customHeight="1">
      <x:c r="A167" s="192" t="str">
        <x:v>4.4.5</x:v>
      </x:c>
      <x:c r="B167" s="192" t="str">
        <x:v>    cognitive-game workflow</x:v>
      </x:c>
      <x:c r="C167" s="193" t="str">
        <x:f>E167-D167+1&amp;IF(E167-D167+1=1," day"," days")</x:f>
        <x:v>2 days</x:v>
      </x:c>
      <x:c r="D167" s="147" t="n">
        <x:v>46250</x:v>
      </x:c>
      <x:c r="E167" s="147" t="n">
        <x:v>46251</x:v>
      </x:c>
      <x:c r="F167" s="149"/>
      <x:c r="G167" s="149"/>
      <x:c r="H167" s="149"/>
      <x:c r="I167" s="149"/>
      <x:c r="J167" s="149"/>
      <x:c r="K167" s="149"/>
      <x:c r="L167" s="149"/>
      <x:c r="M167" s="149"/>
      <x:c r="N167" s="181"/>
      <x:c r="O167" s="181"/>
      <x:c r="P167" s="149"/>
      <x:c r="Q167" s="149"/>
      <x:c r="R167" s="149"/>
      <x:c r="S167" s="149"/>
    </x:row>
    <x:row r="168" ht="19" customHeight="1">
      <x:c r="A168" s="192" t="str">
        <x:v>4.4.6</x:v>
      </x:c>
      <x:c r="B168" s="192" t="str">
        <x:v>    activity monitoring and analytics</x:v>
      </x:c>
      <x:c r="C168" s="193" t="str">
        <x:f>E168-D168+1&amp;IF(E168-D168+1=1," day"," days")</x:f>
        <x:v>2 days</x:v>
      </x:c>
      <x:c r="D168" s="147" t="n">
        <x:v>46252</x:v>
      </x:c>
      <x:c r="E168" s="147" t="n">
        <x:v>46253</x:v>
      </x:c>
      <x:c r="F168" s="149"/>
      <x:c r="G168" s="149"/>
      <x:c r="H168" s="149"/>
      <x:c r="I168" s="149"/>
      <x:c r="J168" s="149"/>
      <x:c r="K168" s="149"/>
      <x:c r="L168" s="149"/>
      <x:c r="M168" s="149"/>
      <x:c r="N168" s="149"/>
      <x:c r="O168" s="181"/>
      <x:c r="P168" s="149"/>
      <x:c r="Q168" s="149"/>
      <x:c r="R168" s="149"/>
      <x:c r="S168" s="149"/>
    </x:row>
    <x:row r="169" ht="19" customHeight="1">
      <x:c r="A169" s="192" t="str">
        <x:v>4.4.7</x:v>
      </x:c>
      <x:c r="B169" s="192" t="str">
        <x:v>    Record system testing results</x:v>
      </x:c>
      <x:c r="C169" s="193" t="str">
        <x:f>E169-D169+1&amp;IF(E169-D169+1=1," day"," days")</x:f>
        <x:v>2 days</x:v>
      </x:c>
      <x:c r="D169" s="147" t="n">
        <x:v>46254</x:v>
      </x:c>
      <x:c r="E169" s="147" t="n">
        <x:v>46255</x:v>
      </x:c>
      <x:c r="F169" s="149"/>
      <x:c r="G169" s="149"/>
      <x:c r="H169" s="149"/>
      <x:c r="I169" s="149"/>
      <x:c r="J169" s="149"/>
      <x:c r="K169" s="149"/>
      <x:c r="L169" s="149"/>
      <x:c r="M169" s="149"/>
      <x:c r="N169" s="149"/>
      <x:c r="O169" s="181"/>
      <x:c r="P169" s="149"/>
      <x:c r="Q169" s="149"/>
      <x:c r="R169" s="149"/>
      <x:c r="S169" s="149"/>
    </x:row>
    <x:row r="170" ht="19" customHeight="1">
      <x:c r="A170" s="186" t="str">
        <x:v>4.5</x:v>
      </x:c>
      <x:c r="B170" s="186" t="str">
        <x:v>  Usability testing</x:v>
      </x:c>
      <x:c r="C170" s="187" t="str">
        <x:f>E170-D170+1&amp;IF(E170-D170+1=1," day"," days")</x:f>
        <x:v>9 days</x:v>
      </x:c>
      <x:c r="D170" s="147" t="n">
        <x:v>46251</x:v>
      </x:c>
      <x:c r="E170" s="147" t="n">
        <x:v>46259</x:v>
      </x:c>
      <x:c r="F170" s="149"/>
      <x:c r="G170" s="149"/>
      <x:c r="H170" s="149"/>
      <x:c r="I170" s="149"/>
      <x:c r="J170" s="149"/>
      <x:c r="K170" s="149"/>
      <x:c r="L170" s="149"/>
      <x:c r="M170" s="149"/>
      <x:c r="N170" s="149"/>
      <x:c r="O170" s="181"/>
      <x:c r="P170" s="181"/>
      <x:c r="Q170" s="149"/>
      <x:c r="R170" s="149"/>
      <x:c r="S170" s="149"/>
    </x:row>
    <x:row r="171" ht="19" customHeight="1">
      <x:c r="A171" s="192" t="str">
        <x:v>4.5.1</x:v>
      </x:c>
      <x:c r="B171" s="192" t="str">
        <x:v>    Prepare usability testing questionnaire</x:v>
      </x:c>
      <x:c r="C171" s="193" t="str">
        <x:f>E171-D171+1&amp;IF(E171-D171+1=1," day"," days")</x:f>
        <x:v>1 day</x:v>
      </x:c>
      <x:c r="D171" s="147" t="n">
        <x:v>46251</x:v>
      </x:c>
      <x:c r="E171" s="147" t="n">
        <x:v>46251</x:v>
      </x:c>
      <x:c r="F171" s="149"/>
      <x:c r="G171" s="149"/>
      <x:c r="H171" s="149"/>
      <x:c r="I171" s="149"/>
      <x:c r="J171" s="149"/>
      <x:c r="K171" s="149"/>
      <x:c r="L171" s="149"/>
      <x:c r="M171" s="149"/>
      <x:c r="N171" s="149"/>
      <x:c r="O171" s="181"/>
      <x:c r="P171" s="149"/>
      <x:c r="Q171" s="149"/>
      <x:c r="R171" s="149"/>
      <x:c r="S171" s="149"/>
    </x:row>
    <x:row r="172" ht="19" customHeight="1">
      <x:c r="A172" s="192" t="str">
        <x:v>4.5.2</x:v>
      </x:c>
      <x:c r="B172" s="192" t="str">
        <x:v>    Select usability testing participants</x:v>
      </x:c>
      <x:c r="C172" s="193" t="str">
        <x:f>E172-D172+1&amp;IF(E172-D172+1=1," day"," days")</x:f>
        <x:v>1 day</x:v>
      </x:c>
      <x:c r="D172" s="147" t="n">
        <x:v>46252</x:v>
      </x:c>
      <x:c r="E172" s="147" t="n">
        <x:v>46252</x:v>
      </x:c>
      <x:c r="F172" s="149"/>
      <x:c r="G172" s="149"/>
      <x:c r="H172" s="149"/>
      <x:c r="I172" s="149"/>
      <x:c r="J172" s="149"/>
      <x:c r="K172" s="149"/>
      <x:c r="L172" s="149"/>
      <x:c r="M172" s="149"/>
      <x:c r="N172" s="149"/>
      <x:c r="O172" s="181"/>
      <x:c r="P172" s="149"/>
      <x:c r="Q172" s="149"/>
      <x:c r="R172" s="149"/>
      <x:c r="S172" s="149"/>
    </x:row>
    <x:row r="173" ht="19" customHeight="1">
      <x:c r="A173" s="192" t="str">
        <x:v>4.5.3</x:v>
      </x:c>
      <x:c r="B173" s="192" t="str">
        <x:v>    Conduct usability testing</x:v>
      </x:c>
      <x:c r="C173" s="193" t="str">
        <x:f>E173-D173+1&amp;IF(E173-D173+1=1," day"," days")</x:f>
        <x:v>1 day</x:v>
      </x:c>
      <x:c r="D173" s="147" t="n">
        <x:v>46253</x:v>
      </x:c>
      <x:c r="E173" s="147" t="n">
        <x:v>46253</x:v>
      </x:c>
      <x:c r="F173" s="149"/>
      <x:c r="G173" s="149"/>
      <x:c r="H173" s="149"/>
      <x:c r="I173" s="149"/>
      <x:c r="J173" s="149"/>
      <x:c r="K173" s="149"/>
      <x:c r="L173" s="149"/>
      <x:c r="M173" s="149"/>
      <x:c r="N173" s="149"/>
      <x:c r="O173" s="181"/>
      <x:c r="P173" s="149"/>
      <x:c r="Q173" s="149"/>
      <x:c r="R173" s="149"/>
      <x:c r="S173" s="149"/>
    </x:row>
    <x:row r="174" ht="19" customHeight="1">
      <x:c r="A174" s="192" t="str">
        <x:v>4.5.4</x:v>
      </x:c>
      <x:c r="B174" s="192" t="str">
        <x:v>    Collect System Usability Scale responses</x:v>
      </x:c>
      <x:c r="C174" s="193" t="str">
        <x:f>E174-D174+1&amp;IF(E174-D174+1=1," day"," days")</x:f>
        <x:v>2 days</x:v>
      </x:c>
      <x:c r="D174" s="147" t="n">
        <x:v>46254</x:v>
      </x:c>
      <x:c r="E174" s="147" t="n">
        <x:v>46255</x:v>
      </x:c>
      <x:c r="F174" s="149"/>
      <x:c r="G174" s="149"/>
      <x:c r="H174" s="149"/>
      <x:c r="I174" s="149"/>
      <x:c r="J174" s="149"/>
      <x:c r="K174" s="149"/>
      <x:c r="L174" s="149"/>
      <x:c r="M174" s="149"/>
      <x:c r="N174" s="149"/>
      <x:c r="O174" s="181"/>
      <x:c r="P174" s="149"/>
      <x:c r="Q174" s="149"/>
      <x:c r="R174" s="149"/>
      <x:c r="S174" s="149"/>
    </x:row>
    <x:row r="175" ht="19" customHeight="1">
      <x:c r="A175" s="192" t="str">
        <x:v>4.5.5</x:v>
      </x:c>
      <x:c r="B175" s="192" t="str">
        <x:v>    Calculate the average SUS score</x:v>
      </x:c>
      <x:c r="C175" s="193" t="str">
        <x:f>E175-D175+1&amp;IF(E175-D175+1=1," day"," days")</x:f>
        <x:v>1 day</x:v>
      </x:c>
      <x:c r="D175" s="147" t="n">
        <x:v>46256</x:v>
      </x:c>
      <x:c r="E175" s="147" t="n">
        <x:v>46256</x:v>
      </x:c>
      <x:c r="F175" s="149"/>
      <x:c r="G175" s="149"/>
      <x:c r="H175" s="149"/>
      <x:c r="I175" s="149"/>
      <x:c r="J175" s="149"/>
      <x:c r="K175" s="149"/>
      <x:c r="L175" s="149"/>
      <x:c r="M175" s="149"/>
      <x:c r="N175" s="149"/>
      <x:c r="O175" s="181"/>
      <x:c r="P175" s="149"/>
      <x:c r="Q175" s="149"/>
      <x:c r="R175" s="149"/>
      <x:c r="S175" s="149"/>
    </x:row>
    <x:row r="176" ht="19" customHeight="1">
      <x:c r="A176" s="192" t="str">
        <x:v>4.5.6</x:v>
      </x:c>
      <x:c r="B176" s="192" t="str">
        <x:v>    Analyse participant feedback</x:v>
      </x:c>
      <x:c r="C176" s="193" t="str">
        <x:f>E176-D176+1&amp;IF(E176-D176+1=1," day"," days")</x:f>
        <x:v>1 day</x:v>
      </x:c>
      <x:c r="D176" s="147" t="n">
        <x:v>46257</x:v>
      </x:c>
      <x:c r="E176" s="147" t="n">
        <x:v>46257</x:v>
      </x:c>
      <x:c r="F176" s="149"/>
      <x:c r="G176" s="149"/>
      <x:c r="H176" s="149"/>
      <x:c r="I176" s="149"/>
      <x:c r="J176" s="149"/>
      <x:c r="K176" s="149"/>
      <x:c r="L176" s="149"/>
      <x:c r="M176" s="149"/>
      <x:c r="N176" s="149"/>
      <x:c r="O176" s="181"/>
      <x:c r="P176" s="149"/>
      <x:c r="Q176" s="149"/>
      <x:c r="R176" s="149"/>
      <x:c r="S176" s="149"/>
    </x:row>
    <x:row r="177" ht="19" customHeight="1">
      <x:c r="A177" s="192" t="str">
        <x:v>4.5.7</x:v>
      </x:c>
      <x:c r="B177" s="192" t="str">
        <x:v>    Record usability testing results</x:v>
      </x:c>
      <x:c r="C177" s="193" t="str">
        <x:f>E177-D177+1&amp;IF(E177-D177+1=1," day"," days")</x:f>
        <x:v>2 days</x:v>
      </x:c>
      <x:c r="D177" s="147" t="n">
        <x:v>46258</x:v>
      </x:c>
      <x:c r="E177" s="147" t="n">
        <x:v>46259</x:v>
      </x:c>
      <x:c r="F177" s="149"/>
      <x:c r="G177" s="149"/>
      <x:c r="H177" s="149"/>
      <x:c r="I177" s="149"/>
      <x:c r="J177" s="149"/>
      <x:c r="K177" s="149"/>
      <x:c r="L177" s="149"/>
      <x:c r="M177" s="149"/>
      <x:c r="N177" s="149"/>
      <x:c r="O177" s="149"/>
      <x:c r="P177" s="181"/>
      <x:c r="Q177" s="149"/>
      <x:c r="R177" s="149"/>
      <x:c r="S177" s="149"/>
    </x:row>
    <x:row r="178" ht="19" customHeight="1">
      <x:c r="A178" s="186" t="str">
        <x:v>4.6</x:v>
      </x:c>
      <x:c r="B178" s="186" t="str">
        <x:v>  User-Acceptance testing</x:v>
      </x:c>
      <x:c r="C178" s="187" t="str">
        <x:f>E178-D178+1&amp;IF(E178-D178+1=1," day"," days")</x:f>
        <x:v>12 days</x:v>
      </x:c>
      <x:c r="D178" s="147" t="n">
        <x:v>46258</x:v>
      </x:c>
      <x:c r="E178" s="147" t="n">
        <x:v>46269</x:v>
      </x:c>
      <x:c r="F178" s="149"/>
      <x:c r="G178" s="149"/>
      <x:c r="H178" s="149"/>
      <x:c r="I178" s="149"/>
      <x:c r="J178" s="149"/>
      <x:c r="K178" s="149"/>
      <x:c r="L178" s="149"/>
      <x:c r="M178" s="149"/>
      <x:c r="N178" s="149"/>
      <x:c r="O178" s="149"/>
      <x:c r="P178" s="181"/>
      <x:c r="Q178" s="181"/>
      <x:c r="R178" s="149"/>
      <x:c r="S178" s="149"/>
    </x:row>
    <x:row r="179" ht="19" customHeight="1">
      <x:c r="A179" s="192" t="str">
        <x:v>4.6.1</x:v>
      </x:c>
      <x:c r="B179" s="192" t="str">
        <x:v>    Prepare user acceptance test cases</x:v>
      </x:c>
      <x:c r="C179" s="193" t="str">
        <x:f>E179-D179+1&amp;IF(E179-D179+1=1," day"," days")</x:f>
        <x:v>2 days</x:v>
      </x:c>
      <x:c r="D179" s="147" t="n">
        <x:v>46258</x:v>
      </x:c>
      <x:c r="E179" s="147" t="n">
        <x:v>46259</x:v>
      </x:c>
      <x:c r="F179" s="149"/>
      <x:c r="G179" s="149"/>
      <x:c r="H179" s="149"/>
      <x:c r="I179" s="149"/>
      <x:c r="J179" s="149"/>
      <x:c r="K179" s="149"/>
      <x:c r="L179" s="149"/>
      <x:c r="M179" s="149"/>
      <x:c r="N179" s="149"/>
      <x:c r="O179" s="149"/>
      <x:c r="P179" s="181"/>
      <x:c r="Q179" s="149"/>
      <x:c r="R179" s="149"/>
      <x:c r="S179" s="149"/>
    </x:row>
    <x:row r="180" ht="19" customHeight="1">
      <x:c r="A180" s="192" t="str">
        <x:v>4.6.2</x:v>
      </x:c>
      <x:c r="B180" s="192" t="str">
        <x:v>    Conduct caregiver and patient acceptance testing</x:v>
      </x:c>
      <x:c r="C180" s="193" t="str">
        <x:f>E180-D180+1&amp;IF(E180-D180+1=1," day"," days")</x:f>
        <x:v>2 days</x:v>
      </x:c>
      <x:c r="D180" s="147" t="n">
        <x:v>46260</x:v>
      </x:c>
      <x:c r="E180" s="147" t="n">
        <x:v>46261</x:v>
      </x:c>
      <x:c r="F180" s="149"/>
      <x:c r="G180" s="149"/>
      <x:c r="H180" s="149"/>
      <x:c r="I180" s="149"/>
      <x:c r="J180" s="149"/>
      <x:c r="K180" s="149"/>
      <x:c r="L180" s="149"/>
      <x:c r="M180" s="149"/>
      <x:c r="N180" s="149"/>
      <x:c r="O180" s="149"/>
      <x:c r="P180" s="181"/>
      <x:c r="Q180" s="149"/>
      <x:c r="R180" s="149"/>
      <x:c r="S180" s="149"/>
    </x:row>
    <x:row r="181" ht="19" customHeight="1">
      <x:c r="A181" s="192" t="str">
        <x:v>4.6.3</x:v>
      </x:c>
      <x:c r="B181" s="192" t="str">
        <x:v>    Compare actual and expected results</x:v>
      </x:c>
      <x:c r="C181" s="193" t="str">
        <x:f>E181-D181+1&amp;IF(E181-D181+1=1," day"," days")</x:f>
        <x:v>2 days</x:v>
      </x:c>
      <x:c r="D181" s="147" t="n">
        <x:v>46262</x:v>
      </x:c>
      <x:c r="E181" s="147" t="n">
        <x:v>46263</x:v>
      </x:c>
      <x:c r="F181" s="149"/>
      <x:c r="G181" s="149"/>
      <x:c r="H181" s="149"/>
      <x:c r="I181" s="149"/>
      <x:c r="J181" s="149"/>
      <x:c r="K181" s="149"/>
      <x:c r="L181" s="149"/>
      <x:c r="M181" s="149"/>
      <x:c r="N181" s="149"/>
      <x:c r="O181" s="149"/>
      <x:c r="P181" s="181"/>
      <x:c r="Q181" s="149"/>
      <x:c r="R181" s="149"/>
      <x:c r="S181" s="149"/>
    </x:row>
    <x:row r="182" ht="19" customHeight="1">
      <x:c r="A182" s="192" t="str">
        <x:v>4.6.4</x:v>
      </x:c>
      <x:c r="B182" s="192" t="str">
        <x:v>    Record pass or fail status</x:v>
      </x:c>
      <x:c r="C182" s="193" t="str">
        <x:f>E182-D182+1&amp;IF(E182-D182+1=1," day"," days")</x:f>
        <x:v>2 days</x:v>
      </x:c>
      <x:c r="D182" s="147" t="n">
        <x:v>46264</x:v>
      </x:c>
      <x:c r="E182" s="147" t="n">
        <x:v>46265</x:v>
      </x:c>
      <x:c r="F182" s="149"/>
      <x:c r="G182" s="149"/>
      <x:c r="H182" s="149"/>
      <x:c r="I182" s="149"/>
      <x:c r="J182" s="149"/>
      <x:c r="K182" s="149"/>
      <x:c r="L182" s="149"/>
      <x:c r="M182" s="149"/>
      <x:c r="N182" s="149"/>
      <x:c r="O182" s="149"/>
      <x:c r="P182" s="181"/>
      <x:c r="Q182" s="181"/>
      <x:c r="R182" s="149"/>
      <x:c r="S182" s="149"/>
    </x:row>
    <x:row r="183" ht="19" customHeight="1">
      <x:c r="A183" s="192" t="str">
        <x:v>4.6.5</x:v>
      </x:c>
      <x:c r="B183" s="192" t="str">
        <x:v>    Confirm functional requirement acceptance</x:v>
      </x:c>
      <x:c r="C183" s="193" t="str">
        <x:f>E183-D183+1&amp;IF(E183-D183+1=1," day"," days")</x:f>
        <x:v>2 days</x:v>
      </x:c>
      <x:c r="D183" s="147" t="n">
        <x:v>46266</x:v>
      </x:c>
      <x:c r="E183" s="147" t="n">
        <x:v>46267</x:v>
      </x:c>
      <x:c r="F183" s="149"/>
      <x:c r="G183" s="149"/>
      <x:c r="H183" s="149"/>
      <x:c r="I183" s="149"/>
      <x:c r="J183" s="149"/>
      <x:c r="K183" s="149"/>
      <x:c r="L183" s="149"/>
      <x:c r="M183" s="149"/>
      <x:c r="N183" s="149"/>
      <x:c r="O183" s="149"/>
      <x:c r="P183" s="149"/>
      <x:c r="Q183" s="181"/>
      <x:c r="R183" s="149"/>
      <x:c r="S183" s="149"/>
    </x:row>
    <x:row r="184" ht="19" customHeight="1">
      <x:c r="A184" s="192" t="str">
        <x:v>4.6.6</x:v>
      </x:c>
      <x:c r="B184" s="192" t="str">
        <x:v>    Record user acceptance testing results</x:v>
      </x:c>
      <x:c r="C184" s="193" t="str">
        <x:f>E184-D184+1&amp;IF(E184-D184+1=1," day"," days")</x:f>
        <x:v>2 days</x:v>
      </x:c>
      <x:c r="D184" s="147" t="n">
        <x:v>46268</x:v>
      </x:c>
      <x:c r="E184" s="147" t="n">
        <x:v>46269</x:v>
      </x:c>
      <x:c r="F184" s="149"/>
      <x:c r="G184" s="149"/>
      <x:c r="H184" s="149"/>
      <x:c r="I184" s="149"/>
      <x:c r="J184" s="149"/>
      <x:c r="K184" s="149"/>
      <x:c r="L184" s="149"/>
      <x:c r="M184" s="149"/>
      <x:c r="N184" s="149"/>
      <x:c r="O184" s="149"/>
      <x:c r="P184" s="149"/>
      <x:c r="Q184" s="181"/>
      <x:c r="R184" s="149"/>
      <x:c r="S184" s="149"/>
    </x:row>
    <x:row r="185" ht="19" customHeight="1">
      <x:c r="A185" s="186" t="str">
        <x:v>4.7</x:v>
      </x:c>
      <x:c r="B185" s="186" t="str">
        <x:v>  Resolve Defects</x:v>
      </x:c>
      <x:c r="C185" s="187" t="str">
        <x:f>E185-D185+1&amp;IF(E185-D185+1=1," day"," days")</x:f>
        <x:v>3 days</x:v>
      </x:c>
      <x:c r="D185" s="147" t="n">
        <x:v>46270</x:v>
      </x:c>
      <x:c r="E185" s="147" t="n">
        <x:v>46272</x:v>
      </x:c>
      <x:c r="F185" s="149"/>
      <x:c r="G185" s="149"/>
      <x:c r="H185" s="149"/>
      <x:c r="I185" s="149"/>
      <x:c r="J185" s="149"/>
      <x:c r="K185" s="149"/>
      <x:c r="L185" s="149"/>
      <x:c r="M185" s="149"/>
      <x:c r="N185" s="149"/>
      <x:c r="O185" s="149"/>
      <x:c r="P185" s="149"/>
      <x:c r="Q185" s="181"/>
      <x:c r="R185" s="181"/>
      <x:c r="S185" s="149"/>
    </x:row>
    <x:row r="186" ht="19" customHeight="1">
      <x:c r="A186" s="198" t="str">
        <x:v>5.0</x:v>
      </x:c>
      <x:c r="B186" s="198" t="str">
        <x:v>Project Completion</x:v>
      </x:c>
      <x:c r="C186" s="199" t="str">
        <x:f>E186-D186+1&amp;IF(E186-D186+1=1," day"," days")</x:f>
        <x:v>29 days</x:v>
      </x:c>
      <x:c r="D186" s="147" t="n">
        <x:v>46251</x:v>
      </x:c>
      <x:c r="E186" s="147" t="n">
        <x:v>46279</x:v>
      </x:c>
      <x:c r="F186" s="149"/>
      <x:c r="G186" s="149"/>
      <x:c r="H186" s="149"/>
      <x:c r="I186" s="149"/>
      <x:c r="J186" s="149"/>
      <x:c r="K186" s="149"/>
      <x:c r="L186" s="149"/>
      <x:c r="M186" s="149"/>
      <x:c r="N186" s="149"/>
      <x:c r="O186" s="200"/>
      <x:c r="P186" s="200"/>
      <x:c r="Q186" s="200"/>
      <x:c r="R186" s="200"/>
      <x:c r="S186" s="200"/>
    </x:row>
    <x:row r="187" ht="19" customHeight="1">
      <x:c r="A187" s="205" t="str">
        <x:v>5.1</x:v>
      </x:c>
      <x:c r="B187" s="205" t="str">
        <x:v>  Prepare FYP poster</x:v>
      </x:c>
      <x:c r="C187" s="206" t="str">
        <x:f>E187-D187+1&amp;IF(E187-D187+1=1," day"," days")</x:f>
        <x:v>9 days</x:v>
      </x:c>
      <x:c r="D187" s="147" t="n">
        <x:v>46251</x:v>
      </x:c>
      <x:c r="E187" s="147" t="n">
        <x:v>46259</x:v>
      </x:c>
      <x:c r="F187" s="149"/>
      <x:c r="G187" s="149"/>
      <x:c r="H187" s="149"/>
      <x:c r="I187" s="149"/>
      <x:c r="J187" s="149"/>
      <x:c r="K187" s="149"/>
      <x:c r="L187" s="149"/>
      <x:c r="M187" s="149"/>
      <x:c r="N187" s="149"/>
      <x:c r="O187" s="200"/>
      <x:c r="P187" s="200"/>
      <x:c r="Q187" s="149"/>
      <x:c r="R187" s="149"/>
      <x:c r="S187" s="149"/>
    </x:row>
    <x:row r="188" ht="19" customHeight="1">
      <x:c r="A188" s="205" t="str">
        <x:v>5.2</x:v>
      </x:c>
      <x:c r="B188" s="205" t="str">
        <x:v>  Submit FYP poster</x:v>
      </x:c>
      <x:c r="C188" s="206" t="str">
        <x:f>E188-D188+1&amp;IF(E188-D188+1=1," day"," days")</x:f>
        <x:v>1 day</x:v>
      </x:c>
      <x:c r="D188" s="208" t="n">
        <x:v>46260</x:v>
      </x:c>
      <x:c r="E188" s="208" t="n">
        <x:v>46260</x:v>
      </x:c>
      <x:c r="F188" s="149"/>
      <x:c r="G188" s="149"/>
      <x:c r="H188" s="149"/>
      <x:c r="I188" s="149"/>
      <x:c r="J188" s="149"/>
      <x:c r="K188" s="149"/>
      <x:c r="L188" s="149"/>
      <x:c r="M188" s="149"/>
      <x:c r="N188" s="149"/>
      <x:c r="O188" s="149"/>
      <x:c r="P188" s="200"/>
      <x:c r="Q188" s="149"/>
      <x:c r="R188" s="149"/>
      <x:c r="S188" s="149"/>
    </x:row>
    <x:row r="189" ht="19" customHeight="1">
      <x:c r="A189" s="205" t="str">
        <x:v>5.3</x:v>
      </x:c>
      <x:c r="B189" s="205" t="str">
        <x:v>  Prepare final project report</x:v>
      </x:c>
      <x:c r="C189" s="206" t="str">
        <x:f>E189-D189+1&amp;IF(E189-D189+1=1," day"," days")</x:f>
        <x:v>15 days</x:v>
      </x:c>
      <x:c r="D189" s="147" t="n">
        <x:v>46261</x:v>
      </x:c>
      <x:c r="E189" s="147" t="n">
        <x:v>46275</x:v>
      </x:c>
      <x:c r="F189" s="149"/>
      <x:c r="G189" s="149"/>
      <x:c r="H189" s="149"/>
      <x:c r="I189" s="149"/>
      <x:c r="J189" s="149"/>
      <x:c r="K189" s="149"/>
      <x:c r="L189" s="149"/>
      <x:c r="M189" s="149"/>
      <x:c r="N189" s="149"/>
      <x:c r="O189" s="149"/>
      <x:c r="P189" s="200"/>
      <x:c r="Q189" s="200"/>
      <x:c r="R189" s="200"/>
      <x:c r="S189" s="149"/>
    </x:row>
    <x:row r="190" ht="19" customHeight="1">
      <x:c r="A190" s="205" t="str">
        <x:v>5.4</x:v>
      </x:c>
      <x:c r="B190" s="205" t="str">
        <x:v>  Submit Final Project Report</x:v>
      </x:c>
      <x:c r="C190" s="206" t="str">
        <x:f>E190-D190+1&amp;IF(E190-D190+1=1," day"," days")</x:f>
        <x:v>1 day</x:v>
      </x:c>
      <x:c r="D190" s="208" t="n">
        <x:v>46276</x:v>
      </x:c>
      <x:c r="E190" s="208" t="n">
        <x:v>46276</x:v>
      </x:c>
      <x:c r="F190" s="149"/>
      <x:c r="G190" s="149"/>
      <x:c r="H190" s="149"/>
      <x:c r="I190" s="149"/>
      <x:c r="J190" s="149"/>
      <x:c r="K190" s="149"/>
      <x:c r="L190" s="149"/>
      <x:c r="M190" s="149"/>
      <x:c r="N190" s="149"/>
      <x:c r="O190" s="149"/>
      <x:c r="P190" s="149"/>
      <x:c r="Q190" s="149"/>
      <x:c r="R190" s="200"/>
      <x:c r="S190" s="149"/>
    </x:row>
    <x:row r="191" ht="19" customHeight="1">
      <x:c r="A191" s="205" t="str">
        <x:v>5.5</x:v>
      </x:c>
      <x:c r="B191" s="205" t="str">
        <x:v>  Prepare Final Presentation</x:v>
      </x:c>
      <x:c r="C191" s="206" t="str">
        <x:f>E191-D191+1&amp;IF(E191-D191+1=1," day"," days")</x:f>
        <x:v>3 days</x:v>
      </x:c>
      <x:c r="D191" s="147" t="n">
        <x:v>46277</x:v>
      </x:c>
      <x:c r="E191" s="147" t="n">
        <x:v>46279</x:v>
      </x:c>
      <x:c r="F191" s="149"/>
      <x:c r="G191" s="149"/>
      <x:c r="H191" s="149"/>
      <x:c r="I191" s="149"/>
      <x:c r="J191" s="149"/>
      <x:c r="K191" s="149"/>
      <x:c r="L191" s="149"/>
      <x:c r="M191" s="149"/>
      <x:c r="N191" s="149"/>
      <x:c r="O191" s="149"/>
      <x:c r="P191" s="149"/>
      <x:c r="Q191" s="149"/>
      <x:c r="R191" s="200"/>
      <x:c r="S191" s="200"/>
    </x:row>
  </x:sheetData>
  <x:pageMargins left="0.7" right="0.7" top="0.75" bottom="0.75" header="0.3" footer="0.3"/>
</x:worksheet>
</file>